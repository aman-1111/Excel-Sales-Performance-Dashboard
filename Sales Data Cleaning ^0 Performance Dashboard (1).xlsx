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027a298505361d5/Desktop/"/>
    </mc:Choice>
  </mc:AlternateContent>
  <xr:revisionPtr revIDLastSave="0" documentId="8_{EB8E0D03-C935-4C13-86DC-C2422C295E9D}" xr6:coauthVersionLast="47" xr6:coauthVersionMax="47" xr10:uidLastSave="{00000000-0000-0000-0000-000000000000}"/>
  <bookViews>
    <workbookView minimized="1" xWindow="1668" yWindow="1668" windowWidth="14400" windowHeight="7368" xr2:uid="{95714912-4A39-4603-8DBD-0AD2117DB556}"/>
  </bookViews>
  <sheets>
    <sheet name="Dashboard" sheetId="3" r:id="rId1"/>
    <sheet name="Raw_Sales_Data" sheetId="1" r:id="rId2"/>
    <sheet name="Sheet2" sheetId="2" r:id="rId3"/>
  </sheets>
  <definedNames>
    <definedName name="_xlnm._FilterDatabase" localSheetId="1" hidden="1">Raw_Sales_Data!$A$1:$I$200</definedName>
    <definedName name="Slicer_Category">#N/A</definedName>
    <definedName name="Slicer_Profit_status">#N/A</definedName>
    <definedName name="Slicer_Region">#N/A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 i="1"/>
</calcChain>
</file>

<file path=xl/sharedStrings.xml><?xml version="1.0" encoding="utf-8"?>
<sst xmlns="http://schemas.openxmlformats.org/spreadsheetml/2006/main" count="1024" uniqueCount="230">
  <si>
    <t>ORD002</t>
  </si>
  <si>
    <t>ORD003</t>
  </si>
  <si>
    <t>ORD004</t>
  </si>
  <si>
    <t>ORD005</t>
  </si>
  <si>
    <t>ORD006</t>
  </si>
  <si>
    <t>ORD007</t>
  </si>
  <si>
    <t>ORD008</t>
  </si>
  <si>
    <t>Customer Name</t>
  </si>
  <si>
    <t>Rahul</t>
  </si>
  <si>
    <t>Amit</t>
  </si>
  <si>
    <t>Neha</t>
  </si>
  <si>
    <t>Rohan</t>
  </si>
  <si>
    <t>Pooja</t>
  </si>
  <si>
    <t>Aman</t>
  </si>
  <si>
    <t>Region</t>
  </si>
  <si>
    <t>North</t>
  </si>
  <si>
    <t>West</t>
  </si>
  <si>
    <t>East</t>
  </si>
  <si>
    <t>South</t>
  </si>
  <si>
    <t>Product</t>
  </si>
  <si>
    <t>Laptop</t>
  </si>
  <si>
    <t>Mobile</t>
  </si>
  <si>
    <t>Chair</t>
  </si>
  <si>
    <t>Table</t>
  </si>
  <si>
    <t>Printer</t>
  </si>
  <si>
    <t>Desk</t>
  </si>
  <si>
    <t>Category</t>
  </si>
  <si>
    <t>Electronics</t>
  </si>
  <si>
    <t>Furniture</t>
  </si>
  <si>
    <t>Priya</t>
  </si>
  <si>
    <t>Order Date</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</si>
  <si>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</si>
  <si>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</si>
  <si>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</si>
  <si>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</si>
  <si>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</si>
  <si>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</si>
  <si>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</si>
  <si>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</si>
  <si>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</si>
  <si>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</si>
  <si>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</si>
  <si>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</si>
  <si>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</si>
  <si>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</si>
  <si>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</si>
  <si>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</si>
  <si>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</si>
  <si>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</si>
  <si>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</si>
  <si>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</si>
  <si>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</si>
  <si>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</si>
  <si>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</si>
  <si>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</si>
  <si>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</si>
  <si>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</si>
  <si>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</si>
  <si>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</si>
  <si>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</si>
  <si>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</si>
  <si>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</si>
  <si>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</si>
  <si>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</si>
  <si>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</si>
  <si>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</si>
  <si>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</si>
  <si>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</si>
  <si>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</si>
  <si>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</si>
  <si>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</si>
  <si>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</si>
  <si>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</si>
  <si>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</si>
  <si>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</si>
  <si>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</si>
  <si>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</si>
  <si>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</si>
  <si>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</si>
  <si>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</si>
  <si>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</si>
  <si>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</si>
  <si>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</si>
  <si>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</si>
  <si>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</si>
  <si>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</si>
  <si>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</si>
  <si>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</si>
  <si>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</si>
  <si>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</si>
  <si>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</si>
  <si>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</si>
  <si>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</si>
  <si>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</si>
  <si>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</si>
  <si>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</si>
  <si>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</si>
  <si>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</si>
  <si>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</si>
  <si>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</si>
  <si>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</si>
  <si>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</si>
  <si>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</si>
  <si>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</si>
  <si>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</si>
  <si>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</si>
  <si>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</si>
  <si>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</si>
  <si>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</si>
  <si>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</si>
  <si>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</si>
  <si>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</si>
  <si>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</si>
  <si>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</si>
  <si>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</si>
  <si>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</si>
  <si>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</si>
  <si>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</si>
  <si>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</si>
  <si>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</si>
  <si>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</si>
  <si>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</si>
  <si>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</si>
  <si>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</si>
  <si>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</si>
  <si>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</si>
  <si>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</si>
  <si>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</si>
  <si>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</si>
  <si>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</si>
  <si>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</si>
  <si>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</si>
  <si>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</si>
  <si>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</si>
  <si>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</si>
  <si>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</si>
  <si>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</si>
  <si>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</si>
  <si>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</si>
  <si>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</si>
  <si>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</si>
  <si>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</si>
  <si>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</si>
  <si>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</si>
  <si>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</si>
  <si>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</si>
  <si>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</si>
  <si>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</si>
  <si>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</si>
  <si>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</si>
  <si>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</si>
  <si>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</si>
  <si>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</si>
  <si>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</si>
  <si>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</si>
  <si>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</si>
  <si>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</si>
  <si>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</si>
  <si>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</si>
  <si>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</si>
  <si>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</si>
  <si>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</si>
  <si>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</si>
  <si>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</si>
  <si>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</si>
  <si>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</si>
  <si>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</si>
  <si>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</si>
  <si>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</si>
  <si>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</si>
  <si>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</si>
  <si>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</si>
  <si>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</si>
  <si>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</si>
  <si>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</si>
  <si>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</si>
  <si>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</si>
  <si>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</si>
  <si>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</si>
  <si>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</si>
  <si>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</si>
  <si>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</si>
  <si>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</si>
  <si>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</si>
  <si>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</si>
  <si>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</si>
  <si>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</si>
  <si>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</si>
  <si>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</si>
  <si>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</si>
  <si>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</si>
  <si>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</si>
  <si>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</si>
  <si>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</si>
  <si>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</si>
  <si>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</si>
  <si>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</si>
  <si>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</si>
  <si>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</si>
  <si>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</si>
  <si>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</si>
  <si>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</si>
  <si>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</si>
  <si>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</si>
  <si>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</si>
  <si>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</si>
  <si>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</si>
  <si>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</si>
  <si>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</si>
  <si>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</si>
  <si>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</si>
  <si>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</si>
  <si>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</si>
  <si>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Order ID</t>
  </si>
  <si>
    <t>Sales</t>
  </si>
  <si>
    <t>Quantity</t>
  </si>
  <si>
    <t>Profit</t>
  </si>
  <si>
    <t>ORD001</t>
  </si>
  <si>
    <t>Ankit</t>
  </si>
  <si>
    <t>Sneha</t>
  </si>
  <si>
    <t>Tablet</t>
  </si>
  <si>
    <t>Karan</t>
  </si>
  <si>
    <t>Row Labels</t>
  </si>
  <si>
    <t>Grand Total</t>
  </si>
  <si>
    <t>Sum of Sales</t>
  </si>
  <si>
    <t>Sum of Profit</t>
  </si>
  <si>
    <t>Profit status</t>
  </si>
  <si>
    <t>Loss</t>
  </si>
  <si>
    <t>Count of Order ID</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</si>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</sst>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4"/>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7">
    <xf numFmtId="0" fontId="0" fillId="0" borderId="0" xfId="0"/>
    <xf numFmtId="9" fontId="0" fillId="0" borderId="0" xfId="0" applyNumberFormat="1"/>
    <xf numFmtId="14" fontId="0" fillId="0" borderId="0" xfId="0" applyNumberFormat="1"/>
    <xf numFmtId="0" fontId="0" fillId="2" borderId="0" xfId="0" applyFill="1"/>
    <xf numFmtId="0" fontId="2" fillId="2" borderId="0" xfId="0" applyFont="1" applyFill="1"/>
    <xf numFmtId="0" fontId="0" fillId="2" borderId="0" xfId="0" applyFill="1" applyAlignment="1">
      <alignment horizontal="left"/>
    </xf>
    <xf numFmtId="0" fontId="0" fillId="2" borderId="0" xfId="0" applyNumberFormat="1" applyFill="1"/>
  </cellXfs>
  <cellStyles count="1">
    <cellStyle name="Normal" xfId="0" builtinId="0"/>
  </cellStyles>
  <dxfs count="641">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0" tint="-0.34998626667073579"/>
        </patternFill>
      </fill>
    </dxf>
    <dxf>
      <fill>
        <patternFill>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tint="-9.9978637043366805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tint="-9.9978637043366805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tint="-9.9978637043366805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^L0 Performance Dashboard (1).xlsx]Dashboard!PivotTable4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Dashboard!$B$4</c:f>
              <c:strCache>
                <c:ptCount val="1"/>
                <c:pt idx="0">
                  <c:v>Total</c:v>
                </c:pt>
              </c:strCache>
            </c:strRef>
          </c:tx>
          <c:spPr>
            <a:solidFill>
              <a:schemeClr val="accent1"/>
            </a:solidFill>
            <a:ln>
              <a:noFill/>
            </a:ln>
            <a:effectLst/>
            <a:sp3d/>
          </c:spPr>
          <c:invertIfNegative val="0"/>
          <c:cat>
            <c:strRef>
              <c:f>Dashboard!$A$5:$A$6</c:f>
              <c:strCache>
                <c:ptCount val="1"/>
                <c:pt idx="0">
                  <c:v>West</c:v>
                </c:pt>
              </c:strCache>
            </c:strRef>
          </c:cat>
          <c:val>
            <c:numRef>
              <c:f>Dashboard!$B$5:$B$6</c:f>
              <c:numCache>
                <c:formatCode>General</c:formatCode>
                <c:ptCount val="1"/>
                <c:pt idx="0">
                  <c:v>457416.99248120253</c:v>
                </c:pt>
              </c:numCache>
            </c:numRef>
          </c:val>
          <c:extLst>
            <c:ext xmlns:c16="http://schemas.microsoft.com/office/drawing/2014/chart" uri="{C3380CC4-5D6E-409C-BE32-E72D297353CC}">
              <c16:uniqueId val="{00000000-FEDB-4E45-8FD8-68333A2FDF78}"/>
            </c:ext>
          </c:extLst>
        </c:ser>
        <c:dLbls>
          <c:showLegendKey val="0"/>
          <c:showVal val="0"/>
          <c:showCatName val="0"/>
          <c:showSerName val="0"/>
          <c:showPercent val="0"/>
          <c:showBubbleSize val="0"/>
        </c:dLbls>
        <c:gapWidth val="150"/>
        <c:shape val="box"/>
        <c:axId val="784533807"/>
        <c:axId val="784532847"/>
        <c:axId val="704161711"/>
      </c:bar3DChart>
      <c:catAx>
        <c:axId val="78453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532847"/>
        <c:crosses val="autoZero"/>
        <c:auto val="1"/>
        <c:lblAlgn val="ctr"/>
        <c:lblOffset val="100"/>
        <c:noMultiLvlLbl val="0"/>
      </c:catAx>
      <c:valAx>
        <c:axId val="7845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533807"/>
        <c:crosses val="autoZero"/>
        <c:crossBetween val="between"/>
      </c:valAx>
      <c:serAx>
        <c:axId val="7041617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5328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^L0 Performance Dashboard (1).xlsx]Dashboard!PivotTable5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Dashboard!$E$4</c:f>
              <c:strCache>
                <c:ptCount val="1"/>
                <c:pt idx="0">
                  <c:v>Total</c:v>
                </c:pt>
              </c:strCache>
            </c:strRef>
          </c:tx>
          <c:spPr>
            <a:solidFill>
              <a:schemeClr val="accent1"/>
            </a:solidFill>
            <a:ln>
              <a:noFill/>
            </a:ln>
            <a:effectLst/>
          </c:spPr>
          <c:invertIfNegative val="0"/>
          <c:cat>
            <c:strRef>
              <c:f>Dashboard!$D$5:$D$6</c:f>
              <c:strCache>
                <c:ptCount val="1"/>
                <c:pt idx="0">
                  <c:v>Electronics</c:v>
                </c:pt>
              </c:strCache>
            </c:strRef>
          </c:cat>
          <c:val>
            <c:numRef>
              <c:f>Dashboard!$E$5:$E$6</c:f>
              <c:numCache>
                <c:formatCode>General</c:formatCode>
                <c:ptCount val="1"/>
                <c:pt idx="0">
                  <c:v>-73465.338345864526</c:v>
                </c:pt>
              </c:numCache>
            </c:numRef>
          </c:val>
          <c:extLst>
            <c:ext xmlns:c16="http://schemas.microsoft.com/office/drawing/2014/chart" uri="{C3380CC4-5D6E-409C-BE32-E72D297353CC}">
              <c16:uniqueId val="{00000000-F4DE-4E81-9B37-C0140C0EC275}"/>
            </c:ext>
          </c:extLst>
        </c:ser>
        <c:dLbls>
          <c:showLegendKey val="0"/>
          <c:showVal val="0"/>
          <c:showCatName val="0"/>
          <c:showSerName val="0"/>
          <c:showPercent val="0"/>
          <c:showBubbleSize val="0"/>
        </c:dLbls>
        <c:gapWidth val="219"/>
        <c:overlap val="-27"/>
        <c:axId val="797456271"/>
        <c:axId val="777828191"/>
      </c:barChart>
      <c:catAx>
        <c:axId val="797456271"/>
        <c:scaling>
          <c:orientation val="minMax"/>
        </c:scaling>
        <c:delete val="1"/>
        <c:axPos val="b"/>
        <c:numFmt formatCode="General" sourceLinked="1"/>
        <c:majorTickMark val="none"/>
        <c:minorTickMark val="none"/>
        <c:tickLblPos val="nextTo"/>
        <c:crossAx val="777828191"/>
        <c:crosses val="autoZero"/>
        <c:auto val="1"/>
        <c:lblAlgn val="ctr"/>
        <c:lblOffset val="100"/>
        <c:noMultiLvlLbl val="0"/>
      </c:catAx>
      <c:valAx>
        <c:axId val="77782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45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^L0 Performance Dashboard (1).xlsx]Dashboard!PivotTable6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Dashboard!$H$4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Dashboard!$G$5:$G$6</c:f>
              <c:strCache>
                <c:ptCount val="1"/>
                <c:pt idx="0">
                  <c:v>Loss</c:v>
                </c:pt>
              </c:strCache>
            </c:strRef>
          </c:cat>
          <c:val>
            <c:numRef>
              <c:f>Dashboard!$H$5:$H$6</c:f>
              <c:numCache>
                <c:formatCode>General</c:formatCode>
                <c:ptCount val="1"/>
                <c:pt idx="0">
                  <c:v>26</c:v>
                </c:pt>
              </c:numCache>
            </c:numRef>
          </c:val>
          <c:extLst>
            <c:ext xmlns:c16="http://schemas.microsoft.com/office/drawing/2014/chart" uri="{C3380CC4-5D6E-409C-BE32-E72D297353CC}">
              <c16:uniqueId val="{00000000-ABB0-4166-8572-3DDBB364C94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^L0 Performance Dashboard (1).xlsx]Dashboard!PivotTable7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Dashboard!$K$4</c:f>
              <c:strCache>
                <c:ptCount val="1"/>
                <c:pt idx="0">
                  <c:v>Total</c:v>
                </c:pt>
              </c:strCache>
            </c:strRef>
          </c:tx>
          <c:spPr>
            <a:solidFill>
              <a:schemeClr val="accent1"/>
            </a:solidFill>
            <a:ln>
              <a:noFill/>
            </a:ln>
            <a:effectLst/>
          </c:spPr>
          <c:invertIfNegative val="0"/>
          <c:cat>
            <c:strRef>
              <c:f>Dashboard!$J$5:$J$8</c:f>
              <c:strCache>
                <c:ptCount val="3"/>
                <c:pt idx="0">
                  <c:v>Laptop</c:v>
                </c:pt>
                <c:pt idx="1">
                  <c:v>Mobile</c:v>
                </c:pt>
                <c:pt idx="2">
                  <c:v>Printer</c:v>
                </c:pt>
              </c:strCache>
            </c:strRef>
          </c:cat>
          <c:val>
            <c:numRef>
              <c:f>Dashboard!$K$5:$K$8</c:f>
              <c:numCache>
                <c:formatCode>General</c:formatCode>
                <c:ptCount val="3"/>
                <c:pt idx="0">
                  <c:v>234671.35338345834</c:v>
                </c:pt>
                <c:pt idx="1">
                  <c:v>103523.45864661636</c:v>
                </c:pt>
                <c:pt idx="2">
                  <c:v>119222.1804511278</c:v>
                </c:pt>
              </c:numCache>
            </c:numRef>
          </c:val>
          <c:extLst>
            <c:ext xmlns:c16="http://schemas.microsoft.com/office/drawing/2014/chart" uri="{C3380CC4-5D6E-409C-BE32-E72D297353CC}">
              <c16:uniqueId val="{00000000-C563-4966-8815-734FBA9602A1}"/>
            </c:ext>
          </c:extLst>
        </c:ser>
        <c:dLbls>
          <c:showLegendKey val="0"/>
          <c:showVal val="0"/>
          <c:showCatName val="0"/>
          <c:showSerName val="0"/>
          <c:showPercent val="0"/>
          <c:showBubbleSize val="0"/>
        </c:dLbls>
        <c:gapWidth val="150"/>
        <c:overlap val="100"/>
        <c:axId val="815893423"/>
        <c:axId val="815893903"/>
      </c:barChart>
      <c:catAx>
        <c:axId val="81589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93903"/>
        <c:crosses val="autoZero"/>
        <c:auto val="1"/>
        <c:lblAlgn val="ctr"/>
        <c:lblOffset val="100"/>
        <c:noMultiLvlLbl val="0"/>
      </c:catAx>
      <c:valAx>
        <c:axId val="815893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9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434453</xdr:colOff>
      <xdr:row>1</xdr:row>
      <xdr:rowOff>59483</xdr:rowOff>
    </xdr:from>
    <xdr:to>
      <xdr:col>4</xdr:col>
      <xdr:colOff>130791</xdr:colOff>
      <xdr:row>1</xdr:row>
      <xdr:rowOff>454926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42D9DA6-E372-766C-C100-E36BAFB4C3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4453" y="550387"/>
              <a:ext cx="2912857" cy="395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647245</xdr:colOff>
      <xdr:row>1</xdr:row>
      <xdr:rowOff>50497</xdr:rowOff>
    </xdr:from>
    <xdr:to>
      <xdr:col>7</xdr:col>
      <xdr:colOff>87686</xdr:colOff>
      <xdr:row>1</xdr:row>
      <xdr:rowOff>466298</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9046E12-3214-B863-A2FC-8686AD2D4F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63764" y="541401"/>
              <a:ext cx="1836345" cy="41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604140</xdr:colOff>
      <xdr:row>1</xdr:row>
      <xdr:rowOff>47199</xdr:rowOff>
    </xdr:from>
    <xdr:to>
      <xdr:col>9</xdr:col>
      <xdr:colOff>704224</xdr:colOff>
      <xdr:row>1</xdr:row>
      <xdr:rowOff>454925</xdr:rowOff>
    </xdr:to>
    <mc:AlternateContent xmlns:mc="http://schemas.openxmlformats.org/markup-compatibility/2006">
      <mc:Choice xmlns:a14="http://schemas.microsoft.com/office/drawing/2010/main" Requires="a14">
        <xdr:graphicFrame macro="">
          <xdr:nvGraphicFramePr>
            <xdr:cNvPr id="4" name="Profit status">
              <a:extLst>
                <a:ext uri="{FF2B5EF4-FFF2-40B4-BE49-F238E27FC236}">
                  <a16:creationId xmlns:a16="http://schemas.microsoft.com/office/drawing/2014/main" id="{916CC7C2-DCC3-F71B-F1DE-2B8D4D87EF19}"/>
                </a:ext>
              </a:extLst>
            </xdr:cNvPr>
            <xdr:cNvGraphicFramePr/>
          </xdr:nvGraphicFramePr>
          <xdr:xfrm>
            <a:off x="0" y="0"/>
            <a:ext cx="0" cy="0"/>
          </xdr:xfrm>
          <a:graphic>
            <a:graphicData uri="http://schemas.microsoft.com/office/drawing/2010/slicer">
              <sle:slicer xmlns:sle="http://schemas.microsoft.com/office/drawing/2010/slicer" name="Profit status"/>
            </a:graphicData>
          </a:graphic>
        </xdr:graphicFrame>
      </mc:Choice>
      <mc:Fallback>
        <xdr:sp macro="" textlink="">
          <xdr:nvSpPr>
            <xdr:cNvPr id="0" name=""/>
            <xdr:cNvSpPr>
              <a:spLocks noTextEdit="1"/>
            </xdr:cNvSpPr>
          </xdr:nvSpPr>
          <xdr:spPr>
            <a:xfrm>
              <a:off x="6216563" y="538103"/>
              <a:ext cx="1829238" cy="40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773373</xdr:colOff>
      <xdr:row>1</xdr:row>
      <xdr:rowOff>540223</xdr:rowOff>
    </xdr:from>
    <xdr:to>
      <xdr:col>2</xdr:col>
      <xdr:colOff>27182</xdr:colOff>
      <xdr:row>2</xdr:row>
      <xdr:rowOff>96672</xdr:rowOff>
    </xdr:to>
    <xdr:sp macro="" textlink="Dashboard!B6">
      <xdr:nvSpPr>
        <xdr:cNvPr id="3074" name="Text Box 2">
          <a:extLst>
            <a:ext uri="{FF2B5EF4-FFF2-40B4-BE49-F238E27FC236}">
              <a16:creationId xmlns:a16="http://schemas.microsoft.com/office/drawing/2014/main" id="{E6D81BEC-B6D4-34A2-4617-254D91F06183}"/>
            </a:ext>
          </a:extLst>
        </xdr:cNvPr>
        <xdr:cNvSpPr txBox="1">
          <a:spLocks noChangeArrowheads="1"/>
        </xdr:cNvSpPr>
      </xdr:nvSpPr>
      <xdr:spPr bwMode="auto">
        <a:xfrm>
          <a:off x="773373" y="1029268"/>
          <a:ext cx="988212" cy="403747"/>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r>
            <a:rPr lang="en-US" sz="1100" b="0" i="0" u="none" strike="noStrike" baseline="0">
              <a:solidFill>
                <a:srgbClr val="000000"/>
              </a:solidFill>
              <a:latin typeface="Calibri"/>
              <a:ea typeface="Calibri"/>
              <a:cs typeface="Calibri"/>
            </a:rPr>
            <a:t>Total Sales:</a:t>
          </a:r>
        </a:p>
        <a:p>
          <a:pPr algn="l" rtl="0">
            <a:defRPr sz="1000"/>
          </a:pPr>
          <a:fld id="{597AAC25-9325-4951-82A8-FEF209D018F2}" type="TxLink">
            <a:rPr lang="en-US" sz="1100" b="0" i="0" u="none" strike="noStrike" baseline="0">
              <a:solidFill>
                <a:srgbClr val="000000"/>
              </a:solidFill>
              <a:latin typeface="Calibri"/>
              <a:ea typeface="Calibri"/>
              <a:cs typeface="Calibri"/>
            </a:rPr>
            <a:t>457416.9925</a:t>
          </a:fld>
          <a:endParaRPr lang="en-IN" sz="1100" b="0" i="0" u="none" strike="noStrike" baseline="0">
            <a:solidFill>
              <a:sysClr val="windowText" lastClr="000000"/>
            </a:solidFill>
            <a:latin typeface="Calibri"/>
            <a:ea typeface="Calibri"/>
            <a:cs typeface="Calibri"/>
          </a:endParaRPr>
        </a:p>
      </xdr:txBody>
    </xdr:sp>
    <xdr:clientData/>
  </xdr:twoCellAnchor>
  <xdr:twoCellAnchor editAs="absolute">
    <xdr:from>
      <xdr:col>7</xdr:col>
      <xdr:colOff>1073623</xdr:colOff>
      <xdr:row>1</xdr:row>
      <xdr:rowOff>544773</xdr:rowOff>
    </xdr:from>
    <xdr:to>
      <xdr:col>9</xdr:col>
      <xdr:colOff>333119</xdr:colOff>
      <xdr:row>2</xdr:row>
      <xdr:rowOff>101222</xdr:rowOff>
    </xdr:to>
    <xdr:sp macro="" textlink="Dashboard!K8">
      <xdr:nvSpPr>
        <xdr:cNvPr id="6" name="Text Box 2">
          <a:extLst>
            <a:ext uri="{FF2B5EF4-FFF2-40B4-BE49-F238E27FC236}">
              <a16:creationId xmlns:a16="http://schemas.microsoft.com/office/drawing/2014/main" id="{C3343EAA-2953-4D06-967D-64132372C652}"/>
            </a:ext>
          </a:extLst>
        </xdr:cNvPr>
        <xdr:cNvSpPr txBox="1">
          <a:spLocks noChangeArrowheads="1"/>
        </xdr:cNvSpPr>
      </xdr:nvSpPr>
      <xdr:spPr bwMode="auto">
        <a:xfrm>
          <a:off x="6618026" y="1033818"/>
          <a:ext cx="988212" cy="403747"/>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r>
            <a:rPr lang="en-US" sz="1100" b="0" i="0" u="none" strike="noStrike" baseline="0">
              <a:solidFill>
                <a:srgbClr val="000000"/>
              </a:solidFill>
              <a:latin typeface="Calibri"/>
              <a:ea typeface="Calibri"/>
              <a:cs typeface="Calibri"/>
            </a:rPr>
            <a:t>Loss Order :</a:t>
          </a:r>
        </a:p>
        <a:p>
          <a:pPr algn="l" rtl="0">
            <a:defRPr sz="1000"/>
          </a:pPr>
          <a:fld id="{AE6B717A-44BE-4D43-8469-3643C27C2063}" type="TxLink">
            <a:rPr lang="en-US" sz="1100" b="0" i="0" u="none" strike="noStrike" baseline="0">
              <a:solidFill>
                <a:srgbClr val="000000"/>
              </a:solidFill>
              <a:latin typeface="Calibri"/>
              <a:ea typeface="Calibri"/>
              <a:cs typeface="Calibri"/>
            </a:rPr>
            <a:t>457416.9925</a:t>
          </a:fld>
          <a:endParaRPr lang="en-IN" sz="1100" b="0" i="0" u="none" strike="noStrike" baseline="0">
            <a:solidFill>
              <a:sysClr val="windowText" lastClr="000000"/>
            </a:solidFill>
            <a:latin typeface="Calibri"/>
            <a:ea typeface="Calibri"/>
            <a:cs typeface="Calibri"/>
          </a:endParaRPr>
        </a:p>
      </xdr:txBody>
    </xdr:sp>
    <xdr:clientData/>
  </xdr:twoCellAnchor>
  <xdr:twoCellAnchor editAs="absolute">
    <xdr:from>
      <xdr:col>4</xdr:col>
      <xdr:colOff>31846</xdr:colOff>
      <xdr:row>1</xdr:row>
      <xdr:rowOff>549322</xdr:rowOff>
    </xdr:from>
    <xdr:to>
      <xdr:col>5</xdr:col>
      <xdr:colOff>144326</xdr:colOff>
      <xdr:row>2</xdr:row>
      <xdr:rowOff>105771</xdr:rowOff>
    </xdr:to>
    <xdr:sp macro="" textlink="Dashboard!E6">
      <xdr:nvSpPr>
        <xdr:cNvPr id="7" name="Text Box 2">
          <a:extLst>
            <a:ext uri="{FF2B5EF4-FFF2-40B4-BE49-F238E27FC236}">
              <a16:creationId xmlns:a16="http://schemas.microsoft.com/office/drawing/2014/main" id="{1F934F43-F89B-42D4-AA9B-4F821CB7371E}"/>
            </a:ext>
          </a:extLst>
        </xdr:cNvPr>
        <xdr:cNvSpPr txBox="1">
          <a:spLocks noChangeArrowheads="1"/>
        </xdr:cNvSpPr>
      </xdr:nvSpPr>
      <xdr:spPr bwMode="auto">
        <a:xfrm>
          <a:off x="3233383" y="1038367"/>
          <a:ext cx="988212" cy="403747"/>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r>
            <a:rPr lang="en-US" sz="1100" b="0" i="0" u="none" strike="noStrike" baseline="0">
              <a:solidFill>
                <a:srgbClr val="000000"/>
              </a:solidFill>
              <a:latin typeface="Calibri"/>
              <a:ea typeface="Calibri"/>
              <a:cs typeface="Calibri"/>
            </a:rPr>
            <a:t>Total Profit : </a:t>
          </a:r>
        </a:p>
        <a:p>
          <a:pPr algn="l" rtl="0">
            <a:defRPr sz="1000"/>
          </a:pPr>
          <a:fld id="{083024EA-D373-4C51-8699-45F1085CA895}" type="TxLink">
            <a:rPr lang="en-US" sz="1100" b="0" i="0" u="none" strike="noStrike" baseline="0">
              <a:solidFill>
                <a:srgbClr val="000000"/>
              </a:solidFill>
              <a:latin typeface="Calibri"/>
              <a:ea typeface="Calibri"/>
              <a:cs typeface="Calibri"/>
            </a:rPr>
            <a:t>-73465.33835</a:t>
          </a:fld>
          <a:endParaRPr lang="en-IN" sz="1100" b="0" i="0" u="none" strike="noStrike" baseline="0">
            <a:solidFill>
              <a:sysClr val="windowText" lastClr="000000"/>
            </a:solidFill>
            <a:latin typeface="Calibri"/>
            <a:ea typeface="Calibri"/>
            <a:cs typeface="Calibri"/>
          </a:endParaRPr>
        </a:p>
      </xdr:txBody>
    </xdr:sp>
    <xdr:clientData/>
  </xdr:twoCellAnchor>
  <xdr:twoCellAnchor editAs="absolute">
    <xdr:from>
      <xdr:col>6</xdr:col>
      <xdr:colOff>93259</xdr:colOff>
      <xdr:row>1</xdr:row>
      <xdr:rowOff>565244</xdr:rowOff>
    </xdr:from>
    <xdr:to>
      <xdr:col>7</xdr:col>
      <xdr:colOff>222799</xdr:colOff>
      <xdr:row>2</xdr:row>
      <xdr:rowOff>121693</xdr:rowOff>
    </xdr:to>
    <xdr:sp macro="" textlink="Dashboard!H6">
      <xdr:nvSpPr>
        <xdr:cNvPr id="8" name="Text Box 2">
          <a:extLst>
            <a:ext uri="{FF2B5EF4-FFF2-40B4-BE49-F238E27FC236}">
              <a16:creationId xmlns:a16="http://schemas.microsoft.com/office/drawing/2014/main" id="{FB61F20A-BA13-43AA-B047-31502E10C556}"/>
            </a:ext>
          </a:extLst>
        </xdr:cNvPr>
        <xdr:cNvSpPr txBox="1">
          <a:spLocks noChangeArrowheads="1"/>
        </xdr:cNvSpPr>
      </xdr:nvSpPr>
      <xdr:spPr bwMode="auto">
        <a:xfrm>
          <a:off x="4778990" y="1054289"/>
          <a:ext cx="988212" cy="403747"/>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r>
            <a:rPr lang="en-US" sz="1100" b="0" i="0" u="none" strike="noStrike" baseline="0">
              <a:solidFill>
                <a:srgbClr val="000000"/>
              </a:solidFill>
              <a:latin typeface="Calibri"/>
              <a:ea typeface="Calibri"/>
              <a:cs typeface="Calibri"/>
            </a:rPr>
            <a:t>Total Order :</a:t>
          </a:r>
        </a:p>
        <a:p>
          <a:pPr algn="l" rtl="0">
            <a:defRPr sz="1000"/>
          </a:pPr>
          <a:fld id="{CBB56E37-49D1-419F-B2F8-1E0165F9CA11}" type="TxLink">
            <a:rPr lang="en-US" sz="1100" b="0" i="0" u="none" strike="noStrike" baseline="0">
              <a:solidFill>
                <a:srgbClr val="000000"/>
              </a:solidFill>
              <a:latin typeface="Calibri"/>
              <a:ea typeface="Calibri"/>
              <a:cs typeface="Calibri"/>
            </a:rPr>
            <a:t>26</a:t>
          </a:fld>
          <a:endParaRPr lang="en-IN" sz="1100" b="0" i="0" u="none" strike="noStrike" baseline="0">
            <a:solidFill>
              <a:sysClr val="windowText" lastClr="000000"/>
            </a:solidFill>
            <a:latin typeface="Calibri"/>
            <a:ea typeface="Calibri"/>
            <a:cs typeface="Calibri"/>
          </a:endParaRPr>
        </a:p>
      </xdr:txBody>
    </xdr:sp>
    <xdr:clientData/>
  </xdr:twoCellAnchor>
  <xdr:twoCellAnchor>
    <xdr:from>
      <xdr:col>0</xdr:col>
      <xdr:colOff>45492</xdr:colOff>
      <xdr:row>7</xdr:row>
      <xdr:rowOff>176284</xdr:rowOff>
    </xdr:from>
    <xdr:to>
      <xdr:col>3</xdr:col>
      <xdr:colOff>392373</xdr:colOff>
      <xdr:row>18</xdr:row>
      <xdr:rowOff>58616</xdr:rowOff>
    </xdr:to>
    <xdr:graphicFrame macro="">
      <xdr:nvGraphicFramePr>
        <xdr:cNvPr id="10" name="Chart 9">
          <a:extLst>
            <a:ext uri="{FF2B5EF4-FFF2-40B4-BE49-F238E27FC236}">
              <a16:creationId xmlns:a16="http://schemas.microsoft.com/office/drawing/2014/main" id="{4F5F7943-09AC-05F9-218F-A6FE9961B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591403</xdr:colOff>
      <xdr:row>7</xdr:row>
      <xdr:rowOff>164910</xdr:rowOff>
    </xdr:from>
    <xdr:to>
      <xdr:col>7</xdr:col>
      <xdr:colOff>449239</xdr:colOff>
      <xdr:row>18</xdr:row>
      <xdr:rowOff>80596</xdr:rowOff>
    </xdr:to>
    <xdr:graphicFrame macro="">
      <xdr:nvGraphicFramePr>
        <xdr:cNvPr id="11" name="Chart 10">
          <a:extLst>
            <a:ext uri="{FF2B5EF4-FFF2-40B4-BE49-F238E27FC236}">
              <a16:creationId xmlns:a16="http://schemas.microsoft.com/office/drawing/2014/main" id="{20DAFCE8-E6E8-2D90-D336-02D4E9E2B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676702</xdr:colOff>
      <xdr:row>7</xdr:row>
      <xdr:rowOff>170595</xdr:rowOff>
    </xdr:from>
    <xdr:to>
      <xdr:col>11</xdr:col>
      <xdr:colOff>56867</xdr:colOff>
      <xdr:row>18</xdr:row>
      <xdr:rowOff>51289</xdr:rowOff>
    </xdr:to>
    <xdr:graphicFrame macro="">
      <xdr:nvGraphicFramePr>
        <xdr:cNvPr id="12" name="Chart 11">
          <a:extLst>
            <a:ext uri="{FF2B5EF4-FFF2-40B4-BE49-F238E27FC236}">
              <a16:creationId xmlns:a16="http://schemas.microsoft.com/office/drawing/2014/main" id="{399D8DE9-3ED0-43E9-2FC8-7CA893338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326047</xdr:colOff>
      <xdr:row>8</xdr:row>
      <xdr:rowOff>14653</xdr:rowOff>
    </xdr:from>
    <xdr:to>
      <xdr:col>17</xdr:col>
      <xdr:colOff>0</xdr:colOff>
      <xdr:row>18</xdr:row>
      <xdr:rowOff>43962</xdr:rowOff>
    </xdr:to>
    <xdr:graphicFrame macro="">
      <xdr:nvGraphicFramePr>
        <xdr:cNvPr id="13" name="Chart 12">
          <a:extLst>
            <a:ext uri="{FF2B5EF4-FFF2-40B4-BE49-F238E27FC236}">
              <a16:creationId xmlns:a16="http://schemas.microsoft.com/office/drawing/2014/main" id="{BFD7B2EC-F87A-754D-B64D-C31262439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249115</xdr:colOff>
      <xdr:row>0</xdr:row>
      <xdr:rowOff>190501</xdr:rowOff>
    </xdr:from>
    <xdr:to>
      <xdr:col>17</xdr:col>
      <xdr:colOff>175846</xdr:colOff>
      <xdr:row>6</xdr:row>
      <xdr:rowOff>168521</xdr:rowOff>
    </xdr:to>
    <xdr:sp macro="" textlink="">
      <xdr:nvSpPr>
        <xdr:cNvPr id="14" name="Speech Bubble: Rectangle with Corners Rounded 13">
          <a:extLst>
            <a:ext uri="{FF2B5EF4-FFF2-40B4-BE49-F238E27FC236}">
              <a16:creationId xmlns:a16="http://schemas.microsoft.com/office/drawing/2014/main" id="{14416A03-23C4-E420-D6FB-1C60BF73D13F}"/>
            </a:ext>
          </a:extLst>
        </xdr:cNvPr>
        <xdr:cNvSpPr/>
      </xdr:nvSpPr>
      <xdr:spPr>
        <a:xfrm>
          <a:off x="9334500" y="190501"/>
          <a:ext cx="3575538" cy="2044212"/>
        </a:xfrm>
        <a:prstGeom prst="wedgeRoundRectCallout">
          <a:avLst>
            <a:gd name="adj1" fmla="val -20833"/>
            <a:gd name="adj2" fmla="val 55331"/>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 West region contributes the highest total sales among all regions.</a:t>
          </a:r>
        </a:p>
        <a:p>
          <a:pPr algn="l"/>
          <a:r>
            <a:rPr lang="en-IN" sz="1100" b="0" cap="none" spc="0">
              <a:ln w="0"/>
              <a:solidFill>
                <a:schemeClr val="tx1"/>
              </a:solidFill>
              <a:effectLst>
                <a:outerShdw blurRad="38100" dist="19050" dir="2700000" algn="tl" rotWithShape="0">
                  <a:schemeClr val="dk1">
                    <a:alpha val="40000"/>
                  </a:schemeClr>
                </a:outerShdw>
              </a:effectLst>
            </a:rPr>
            <a:t>• Electronics category dominates overall revenue but also shows notable losses.</a:t>
          </a:r>
        </a:p>
        <a:p>
          <a:pPr algn="l"/>
          <a:r>
            <a:rPr lang="en-IN" sz="1100" b="0" cap="none" spc="0">
              <a:ln w="0"/>
              <a:solidFill>
                <a:schemeClr val="tx1"/>
              </a:solidFill>
              <a:effectLst>
                <a:outerShdw blurRad="38100" dist="19050" dir="2700000" algn="tl" rotWithShape="0">
                  <a:schemeClr val="dk1">
                    <a:alpha val="40000"/>
                  </a:schemeClr>
                </a:outerShdw>
              </a:effectLst>
            </a:rPr>
            <a:t>• Furniture products have lower sales contribution with higher loss frequency.</a:t>
          </a:r>
        </a:p>
        <a:p>
          <a:pPr algn="l"/>
          <a:r>
            <a:rPr lang="en-IN" sz="1100" b="0" cap="none" spc="0">
              <a:ln w="0"/>
              <a:solidFill>
                <a:schemeClr val="tx1"/>
              </a:solidFill>
              <a:effectLst>
                <a:outerShdw blurRad="38100" dist="19050" dir="2700000" algn="tl" rotWithShape="0">
                  <a:schemeClr val="dk1">
                    <a:alpha val="40000"/>
                  </a:schemeClr>
                </a:outerShdw>
              </a:effectLst>
            </a:rPr>
            <a:t>• Loss orders form a smaller portion of total orders but significantly impact total profit.</a:t>
          </a:r>
        </a:p>
        <a:p>
          <a:pPr algn="l"/>
          <a:r>
            <a:rPr lang="en-IN" sz="1100" b="0" cap="none" spc="0">
              <a:ln w="0"/>
              <a:solidFill>
                <a:schemeClr val="tx1"/>
              </a:solidFill>
              <a:effectLst>
                <a:outerShdw blurRad="38100" dist="19050" dir="2700000" algn="tl" rotWithShape="0">
                  <a:schemeClr val="dk1">
                    <a:alpha val="40000"/>
                  </a:schemeClr>
                </a:outerShdw>
              </a:effectLst>
            </a:rPr>
            <a:t>• Interactive slicers help quickly identify regional and category-wise performance trends.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30.585836805556" createdVersion="8" refreshedVersion="8" minRefreshableVersion="3" recordCount="199" xr:uid="{D4ED69FB-1439-466B-B29B-1D6B623E6B22}">
  <cacheSource type="worksheet">
    <worksheetSource ref="A1:J200" sheet="Raw_Sales_Data"/>
  </cacheSource>
  <cacheFields count="10">
    <cacheField name="Order ID" numFmtId="0">
      <sharedItems/>
    </cacheField>
    <cacheField name="Order Date" numFmtId="14">
      <sharedItems containsSemiMixedTypes="0" containsNonDate="0" containsDate="1" containsString="0" minDate="2025-01-01T00:00:00" maxDate="2025-06-02T00:00:00"/>
    </cacheField>
    <cacheField name="Customer Name" numFmtId="0">
      <sharedItems/>
    </cacheField>
    <cacheField name="Region" numFmtId="0">
      <sharedItems count="4">
        <s v="North"/>
        <s v="South"/>
        <s v="West"/>
        <s v="East"/>
      </sharedItems>
    </cacheField>
    <cacheField name="Product" numFmtId="0">
      <sharedItems count="7">
        <s v="Laptop"/>
        <s v="Mobile"/>
        <s v="Chair"/>
        <s v="Table"/>
        <s v="Printer"/>
        <s v="Desk"/>
        <s v="Tablet"/>
      </sharedItems>
    </cacheField>
    <cacheField name="Category" numFmtId="0">
      <sharedItems count="2">
        <s v="Electronics"/>
        <s v="Furniture"/>
      </sharedItems>
    </cacheField>
    <cacheField name="Sales" numFmtId="0">
      <sharedItems containsSemiMixedTypes="0" containsString="0" containsNumber="1" minValue="6.9924812029712502" maxValue="57000"/>
    </cacheField>
    <cacheField name="Quantity" numFmtId="9">
      <sharedItems containsSemiMixedTypes="0" containsString="0" containsNumber="1" minValue="0.72481203007518802" maxValue="2"/>
    </cacheField>
    <cacheField name="Profit" numFmtId="0">
      <sharedItems containsSemiMixedTypes="0" containsString="0" containsNumber="1" minValue="-5408.1203007518698" maxValue="8300"/>
    </cacheField>
    <cacheField name="Profit status" numFmtId="0">
      <sharedItems count="2">
        <s v="Profit"/>
        <s v="Loss"/>
      </sharedItems>
    </cacheField>
  </cacheFields>
  <extLst>
    <ext xmlns:x14="http://schemas.microsoft.com/office/spreadsheetml/2009/9/main" uri="{725AE2AE-9491-48be-B2B4-4EB974FC3084}">
      <x14:pivotCacheDefinition pivotCacheId="1893233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ORD001"/>
    <d v="2025-01-01T00:00:00"/>
    <s v="Rahul"/>
    <x v="0"/>
    <x v="0"/>
    <x v="0"/>
    <n v="55000"/>
    <n v="1"/>
    <n v="8000"/>
    <x v="0"/>
  </r>
  <r>
    <s v="ORD002"/>
    <d v="2025-01-01T00:00:00"/>
    <s v="Priya"/>
    <x v="1"/>
    <x v="1"/>
    <x v="0"/>
    <n v="22000"/>
    <n v="1"/>
    <n v="3000"/>
    <x v="0"/>
  </r>
  <r>
    <s v="ORD003"/>
    <d v="2025-01-01T00:00:00"/>
    <s v="Amit"/>
    <x v="2"/>
    <x v="2"/>
    <x v="1"/>
    <n v="8000"/>
    <n v="2"/>
    <n v="-500"/>
    <x v="1"/>
  </r>
  <r>
    <s v="ORD004"/>
    <d v="2025-02-01T00:00:00"/>
    <s v="Neha"/>
    <x v="3"/>
    <x v="3"/>
    <x v="1"/>
    <n v="12000"/>
    <n v="1"/>
    <n v="1500"/>
    <x v="0"/>
  </r>
  <r>
    <s v="ORD005"/>
    <d v="2025-02-01T00:00:00"/>
    <s v="Rohan"/>
    <x v="0"/>
    <x v="0"/>
    <x v="0"/>
    <n v="54000"/>
    <n v="1"/>
    <n v="7500"/>
    <x v="0"/>
  </r>
  <r>
    <s v="ORD006"/>
    <d v="2025-02-01T00:00:00"/>
    <s v="Pooja"/>
    <x v="1"/>
    <x v="4"/>
    <x v="0"/>
    <n v="9000"/>
    <n v="1"/>
    <n v="500"/>
    <x v="0"/>
  </r>
  <r>
    <s v="ORD007"/>
    <d v="2025-03-01T00:00:00"/>
    <s v="Aman"/>
    <x v="3"/>
    <x v="5"/>
    <x v="1"/>
    <n v="15000"/>
    <n v="1"/>
    <n v="-300"/>
    <x v="1"/>
  </r>
  <r>
    <s v="ORD008"/>
    <d v="2025-03-01T00:00:00"/>
    <s v="Ankit"/>
    <x v="2"/>
    <x v="1"/>
    <x v="0"/>
    <n v="21000"/>
    <n v="1"/>
    <n v="2800"/>
    <x v="0"/>
  </r>
  <r>
    <s v="ORD009"/>
    <d v="2025-03-01T00:00:00"/>
    <s v="Sneha"/>
    <x v="0"/>
    <x v="6"/>
    <x v="0"/>
    <n v="18000"/>
    <n v="1"/>
    <n v="2000"/>
    <x v="0"/>
  </r>
  <r>
    <s v="ORD010"/>
    <d v="2025-03-01T00:00:00"/>
    <s v="Karan"/>
    <x v="1"/>
    <x v="2"/>
    <x v="1"/>
    <n v="8500"/>
    <n v="2"/>
    <n v="-400"/>
    <x v="1"/>
  </r>
  <r>
    <s v="ORD011"/>
    <d v="2025-04-01T00:00:00"/>
    <s v="Rahul"/>
    <x v="2"/>
    <x v="0"/>
    <x v="0"/>
    <n v="56000"/>
    <n v="1"/>
    <n v="8200"/>
    <x v="0"/>
  </r>
  <r>
    <s v="ORD012"/>
    <d v="2025-04-01T00:00:00"/>
    <s v="Priya"/>
    <x v="3"/>
    <x v="3"/>
    <x v="1"/>
    <n v="13000"/>
    <n v="1"/>
    <n v="1800"/>
    <x v="0"/>
  </r>
  <r>
    <s v="ORD013"/>
    <d v="2025-04-01T00:00:00"/>
    <s v="Amit"/>
    <x v="0"/>
    <x v="1"/>
    <x v="0"/>
    <n v="23000"/>
    <n v="1"/>
    <n v="3100"/>
    <x v="0"/>
  </r>
  <r>
    <s v="ORD014"/>
    <d v="2025-05-01T00:00:00"/>
    <s v="Neha"/>
    <x v="1"/>
    <x v="5"/>
    <x v="1"/>
    <n v="14500"/>
    <n v="1"/>
    <n v="-250"/>
    <x v="1"/>
  </r>
  <r>
    <s v="ORD015"/>
    <d v="2025-05-01T00:00:00"/>
    <s v="Rohan"/>
    <x v="2"/>
    <x v="4"/>
    <x v="0"/>
    <n v="9500"/>
    <n v="1"/>
    <n v="600"/>
    <x v="0"/>
  </r>
  <r>
    <s v="ORD016"/>
    <d v="2025-05-01T00:00:00"/>
    <s v="Pooja"/>
    <x v="0"/>
    <x v="6"/>
    <x v="0"/>
    <n v="17500"/>
    <n v="1"/>
    <n v="2100"/>
    <x v="0"/>
  </r>
  <r>
    <s v="ORD017"/>
    <d v="2025-06-01T00:00:00"/>
    <s v="Aman"/>
    <x v="3"/>
    <x v="2"/>
    <x v="1"/>
    <n v="8200"/>
    <n v="2"/>
    <n v="-600"/>
    <x v="1"/>
  </r>
  <r>
    <s v="ORD018"/>
    <d v="2025-06-01T00:00:00"/>
    <s v="Ankit"/>
    <x v="1"/>
    <x v="1"/>
    <x v="0"/>
    <n v="21500"/>
    <n v="1"/>
    <n v="2900"/>
    <x v="0"/>
  </r>
  <r>
    <s v="ORD019"/>
    <d v="2025-06-01T00:00:00"/>
    <s v="Sneha"/>
    <x v="2"/>
    <x v="0"/>
    <x v="0"/>
    <n v="57000"/>
    <n v="1"/>
    <n v="8300"/>
    <x v="0"/>
  </r>
  <r>
    <s v="ORD020"/>
    <d v="2025-06-01T00:00:00"/>
    <s v="Karan"/>
    <x v="0"/>
    <x v="3"/>
    <x v="1"/>
    <n v="12500"/>
    <n v="1"/>
    <n v="1600"/>
    <x v="0"/>
  </r>
  <r>
    <s v="Order ID"/>
    <d v="2025-01-01T00:00:00"/>
    <s v="Rahul"/>
    <x v="0"/>
    <x v="0"/>
    <x v="0"/>
    <n v="19464.7368421053"/>
    <n v="1.1263157894736799"/>
    <n v="2146.8421052631602"/>
    <x v="0"/>
  </r>
  <r>
    <s v="ORD021"/>
    <d v="2025-01-01T00:00:00"/>
    <s v="Priya"/>
    <x v="1"/>
    <x v="1"/>
    <x v="0"/>
    <n v="19150.902255639099"/>
    <n v="1.12406015037594"/>
    <n v="2104.3984962405998"/>
    <x v="0"/>
  </r>
  <r>
    <s v="ORD022"/>
    <d v="2025-01-01T00:00:00"/>
    <s v="Amit"/>
    <x v="2"/>
    <x v="2"/>
    <x v="1"/>
    <n v="18837.067669172899"/>
    <n v="1.1218045112782"/>
    <n v="2061.9548872180499"/>
    <x v="0"/>
  </r>
  <r>
    <s v="ORD023"/>
    <d v="2025-02-01T00:00:00"/>
    <s v="Neha"/>
    <x v="3"/>
    <x v="3"/>
    <x v="1"/>
    <n v="18523.2330827068"/>
    <n v="1.1195488721804501"/>
    <n v="2019.5112781954899"/>
    <x v="0"/>
  </r>
  <r>
    <s v="ORD024"/>
    <d v="2025-02-01T00:00:00"/>
    <s v="Rohan"/>
    <x v="0"/>
    <x v="0"/>
    <x v="0"/>
    <n v="18209.398496240599"/>
    <n v="1.1172932330827099"/>
    <n v="1977.06766917294"/>
    <x v="0"/>
  </r>
  <r>
    <s v="ORD025"/>
    <d v="2025-02-01T00:00:00"/>
    <s v="Pooja"/>
    <x v="1"/>
    <x v="4"/>
    <x v="0"/>
    <n v="17895.563909774399"/>
    <n v="1.1150375939849599"/>
    <n v="1934.62406015038"/>
    <x v="0"/>
  </r>
  <r>
    <s v="ORD026"/>
    <d v="2025-03-01T00:00:00"/>
    <s v="Aman"/>
    <x v="3"/>
    <x v="5"/>
    <x v="1"/>
    <n v="17581.7293233083"/>
    <n v="1.11278195488722"/>
    <n v="1892.1804511278201"/>
    <x v="0"/>
  </r>
  <r>
    <s v="ORD027"/>
    <d v="2025-03-01T00:00:00"/>
    <s v="Ankit"/>
    <x v="2"/>
    <x v="1"/>
    <x v="0"/>
    <n v="17267.8947368421"/>
    <n v="1.11052631578947"/>
    <n v="1849.7368421052699"/>
    <x v="0"/>
  </r>
  <r>
    <s v="ORD028"/>
    <d v="2025-03-01T00:00:00"/>
    <s v="Sneha"/>
    <x v="0"/>
    <x v="6"/>
    <x v="0"/>
    <n v="16954.060150375899"/>
    <n v="1.1082706766917301"/>
    <n v="1807.29323308271"/>
    <x v="0"/>
  </r>
  <r>
    <s v="ORD029"/>
    <d v="2025-03-01T00:00:00"/>
    <s v="Karan"/>
    <x v="1"/>
    <x v="2"/>
    <x v="1"/>
    <n v="16640.2255639098"/>
    <n v="1.1060150375939799"/>
    <n v="1764.8496240601501"/>
    <x v="0"/>
  </r>
  <r>
    <s v="ORD030"/>
    <d v="2025-04-01T00:00:00"/>
    <s v="Rahul"/>
    <x v="2"/>
    <x v="0"/>
    <x v="0"/>
    <n v="16326.3909774436"/>
    <n v="1.1037593984962399"/>
    <n v="1722.4060150375999"/>
    <x v="0"/>
  </r>
  <r>
    <s v="ORD031"/>
    <d v="2025-04-01T00:00:00"/>
    <s v="Priya"/>
    <x v="3"/>
    <x v="3"/>
    <x v="1"/>
    <n v="16012.556390977399"/>
    <n v="1.1015037593985"/>
    <n v="1679.96240601504"/>
    <x v="0"/>
  </r>
  <r>
    <s v="ORD032"/>
    <d v="2025-04-01T00:00:00"/>
    <s v="Amit"/>
    <x v="0"/>
    <x v="1"/>
    <x v="0"/>
    <n v="15698.7218045113"/>
    <n v="1.09924812030075"/>
    <n v="1637.51879699249"/>
    <x v="0"/>
  </r>
  <r>
    <s v="ORD033"/>
    <d v="2025-05-01T00:00:00"/>
    <s v="Neha"/>
    <x v="1"/>
    <x v="5"/>
    <x v="1"/>
    <n v="15384.8872180451"/>
    <n v="1.0969924812030101"/>
    <n v="1595.0751879699301"/>
    <x v="0"/>
  </r>
  <r>
    <s v="ORD034"/>
    <d v="2025-05-01T00:00:00"/>
    <s v="Rohan"/>
    <x v="2"/>
    <x v="4"/>
    <x v="0"/>
    <n v="15071.052631578999"/>
    <n v="1.0947368421052599"/>
    <n v="1552.6315789473699"/>
    <x v="0"/>
  </r>
  <r>
    <s v="ORD035"/>
    <d v="2025-05-01T00:00:00"/>
    <s v="Pooja"/>
    <x v="0"/>
    <x v="6"/>
    <x v="0"/>
    <n v="14757.218045112801"/>
    <n v="1.0924812030075199"/>
    <n v="1510.18796992482"/>
    <x v="0"/>
  </r>
  <r>
    <s v="ORD036"/>
    <d v="2025-06-01T00:00:00"/>
    <s v="Aman"/>
    <x v="3"/>
    <x v="2"/>
    <x v="1"/>
    <n v="14443.3834586466"/>
    <n v="1.09022556390977"/>
    <n v="1467.74436090226"/>
    <x v="0"/>
  </r>
  <r>
    <s v="ORD037"/>
    <d v="2025-06-01T00:00:00"/>
    <s v="Ankit"/>
    <x v="1"/>
    <x v="1"/>
    <x v="0"/>
    <n v="14129.5488721805"/>
    <n v="1.08796992481203"/>
    <n v="1425.3007518797001"/>
    <x v="0"/>
  </r>
  <r>
    <s v="ORD038"/>
    <d v="2025-06-01T00:00:00"/>
    <s v="Sneha"/>
    <x v="2"/>
    <x v="0"/>
    <x v="0"/>
    <n v="13815.714285714301"/>
    <n v="1.0857142857142901"/>
    <n v="1382.8571428571499"/>
    <x v="0"/>
  </r>
  <r>
    <s v="ORD039"/>
    <d v="2025-06-01T00:00:00"/>
    <s v="Karan"/>
    <x v="0"/>
    <x v="3"/>
    <x v="1"/>
    <n v="13501.8796992481"/>
    <n v="1.0834586466165399"/>
    <n v="1340.41353383459"/>
    <x v="0"/>
  </r>
  <r>
    <s v="ORD040"/>
    <d v="2025-01-01T00:00:00"/>
    <s v="Rahul"/>
    <x v="0"/>
    <x v="0"/>
    <x v="0"/>
    <n v="13188.045112782"/>
    <n v="1.0812030075187999"/>
    <n v="1297.9699248120301"/>
    <x v="0"/>
  </r>
  <r>
    <s v="Order ID"/>
    <d v="2025-01-01T00:00:00"/>
    <s v="Priya"/>
    <x v="1"/>
    <x v="1"/>
    <x v="0"/>
    <n v="12874.210526315799"/>
    <n v="1.07894736842105"/>
    <n v="1255.5263157894799"/>
    <x v="0"/>
  </r>
  <r>
    <s v="ORD041"/>
    <d v="2025-01-01T00:00:00"/>
    <s v="Amit"/>
    <x v="2"/>
    <x v="2"/>
    <x v="1"/>
    <n v="12560.3759398497"/>
    <n v="1.07669172932331"/>
    <n v="1213.08270676692"/>
    <x v="0"/>
  </r>
  <r>
    <s v="ORD042"/>
    <d v="2025-02-01T00:00:00"/>
    <s v="Neha"/>
    <x v="3"/>
    <x v="3"/>
    <x v="1"/>
    <n v="12246.5413533835"/>
    <n v="1.0744360902255601"/>
    <n v="1170.63909774437"/>
    <x v="0"/>
  </r>
  <r>
    <s v="ORD043"/>
    <d v="2025-02-01T00:00:00"/>
    <s v="Rohan"/>
    <x v="0"/>
    <x v="0"/>
    <x v="0"/>
    <n v="11932.706766917299"/>
    <n v="1.0721804511278199"/>
    <n v="1128.1954887218101"/>
    <x v="0"/>
  </r>
  <r>
    <s v="ORD044"/>
    <d v="2025-02-01T00:00:00"/>
    <s v="Pooja"/>
    <x v="1"/>
    <x v="4"/>
    <x v="0"/>
    <n v="11618.872180451201"/>
    <n v="1.0699248120300799"/>
    <n v="1085.7518796992499"/>
    <x v="0"/>
  </r>
  <r>
    <s v="ORD045"/>
    <d v="2025-03-01T00:00:00"/>
    <s v="Aman"/>
    <x v="3"/>
    <x v="5"/>
    <x v="1"/>
    <n v="11305.037593985"/>
    <n v="1.06766917293233"/>
    <n v="1043.3082706767"/>
    <x v="0"/>
  </r>
  <r>
    <s v="ORD046"/>
    <d v="2025-03-01T00:00:00"/>
    <s v="Ankit"/>
    <x v="2"/>
    <x v="1"/>
    <x v="0"/>
    <n v="10991.203007518799"/>
    <n v="1.06541353383459"/>
    <n v="1000.86466165414"/>
    <x v="0"/>
  </r>
  <r>
    <s v="ORD047"/>
    <d v="2025-03-01T00:00:00"/>
    <s v="Sneha"/>
    <x v="0"/>
    <x v="6"/>
    <x v="0"/>
    <n v="10677.368421052701"/>
    <n v="1.0631578947368401"/>
    <n v="958.421052631576"/>
    <x v="0"/>
  </r>
  <r>
    <s v="ORD048"/>
    <d v="2025-03-01T00:00:00"/>
    <s v="Karan"/>
    <x v="1"/>
    <x v="2"/>
    <x v="1"/>
    <n v="10363.5338345865"/>
    <n v="1.0609022556390999"/>
    <n v="915.97744360902595"/>
    <x v="0"/>
  </r>
  <r>
    <s v="ORD049"/>
    <d v="2025-04-01T00:00:00"/>
    <s v="Rahul"/>
    <x v="2"/>
    <x v="0"/>
    <x v="0"/>
    <n v="10049.6992481203"/>
    <n v="1.0586466165413499"/>
    <n v="873.53383458646601"/>
    <x v="0"/>
  </r>
  <r>
    <s v="ORD050"/>
    <d v="2025-04-01T00:00:00"/>
    <s v="Priya"/>
    <x v="3"/>
    <x v="3"/>
    <x v="1"/>
    <n v="9735.86466165417"/>
    <n v="1.05639097744361"/>
    <n v="831.09022556390596"/>
    <x v="0"/>
  </r>
  <r>
    <s v="ORD051"/>
    <d v="2025-04-01T00:00:00"/>
    <s v="Amit"/>
    <x v="0"/>
    <x v="1"/>
    <x v="0"/>
    <n v="9422.0300751879695"/>
    <n v="1.05413533834586"/>
    <n v="788.64661654135602"/>
    <x v="0"/>
  </r>
  <r>
    <s v="ORD052"/>
    <d v="2025-05-01T00:00:00"/>
    <s v="Neha"/>
    <x v="1"/>
    <x v="5"/>
    <x v="1"/>
    <n v="9108.1954887217707"/>
    <n v="1.0518796992481201"/>
    <n v="746.20300751879597"/>
    <x v="0"/>
  </r>
  <r>
    <s v="ORD053"/>
    <d v="2025-05-01T00:00:00"/>
    <s v="Rohan"/>
    <x v="2"/>
    <x v="4"/>
    <x v="0"/>
    <n v="8794.3609022556702"/>
    <n v="1.0496240601503799"/>
    <n v="703.75939849624604"/>
    <x v="0"/>
  </r>
  <r>
    <s v="ORD054"/>
    <d v="2025-05-01T00:00:00"/>
    <s v="Pooja"/>
    <x v="0"/>
    <x v="6"/>
    <x v="0"/>
    <n v="8480.5263157894697"/>
    <n v="1.0473684210526299"/>
    <n v="661.31578947368598"/>
    <x v="0"/>
  </r>
  <r>
    <s v="ORD055"/>
    <d v="2025-06-01T00:00:00"/>
    <s v="Aman"/>
    <x v="3"/>
    <x v="2"/>
    <x v="1"/>
    <n v="8166.69172932327"/>
    <n v="1.04511278195489"/>
    <n v="618.87218045112604"/>
    <x v="0"/>
  </r>
  <r>
    <s v="ORD056"/>
    <d v="2025-06-01T00:00:00"/>
    <s v="Ankit"/>
    <x v="1"/>
    <x v="1"/>
    <x v="0"/>
    <n v="7852.8571428571704"/>
    <n v="1.04285714285714"/>
    <n v="576.42857142857599"/>
    <x v="0"/>
  </r>
  <r>
    <s v="ORD057"/>
    <d v="2025-06-01T00:00:00"/>
    <s v="Sneha"/>
    <x v="2"/>
    <x v="0"/>
    <x v="0"/>
    <n v="7539.0225563909698"/>
    <n v="1.0406015037594001"/>
    <n v="533.98496240601605"/>
    <x v="0"/>
  </r>
  <r>
    <s v="ORD058"/>
    <d v="2025-06-01T00:00:00"/>
    <s v="Karan"/>
    <x v="0"/>
    <x v="3"/>
    <x v="1"/>
    <n v="7225.1879699247702"/>
    <n v="1.0383458646616499"/>
    <n v="491.541353383456"/>
    <x v="0"/>
  </r>
  <r>
    <s v="ORD059"/>
    <d v="2025-01-01T00:00:00"/>
    <s v="Rahul"/>
    <x v="0"/>
    <x v="0"/>
    <x v="0"/>
    <n v="6911.3533834586697"/>
    <n v="1.03609022556391"/>
    <n v="449.09774436090601"/>
    <x v="0"/>
  </r>
  <r>
    <s v="ORD060"/>
    <d v="2025-01-01T00:00:00"/>
    <s v="Priya"/>
    <x v="1"/>
    <x v="1"/>
    <x v="0"/>
    <n v="6597.51879699247"/>
    <n v="1.03383458646617"/>
    <n v="406.65413533834601"/>
    <x v="0"/>
  </r>
  <r>
    <s v="Order ID"/>
    <d v="2025-01-01T00:00:00"/>
    <s v="Amit"/>
    <x v="2"/>
    <x v="2"/>
    <x v="1"/>
    <n v="6283.6842105262704"/>
    <n v="1.03157894736842"/>
    <n v="364.21052631578601"/>
    <x v="0"/>
  </r>
  <r>
    <s v="ORD061"/>
    <d v="2025-02-01T00:00:00"/>
    <s v="Neha"/>
    <x v="3"/>
    <x v="3"/>
    <x v="1"/>
    <n v="5969.8496240601698"/>
    <n v="1.0293233082706801"/>
    <n v="321.76691729323602"/>
    <x v="0"/>
  </r>
  <r>
    <s v="ORD062"/>
    <d v="2025-02-01T00:00:00"/>
    <s v="Rohan"/>
    <x v="0"/>
    <x v="0"/>
    <x v="0"/>
    <n v="5656.0150375939702"/>
    <n v="1.0270676691729299"/>
    <n v="279.32330827067602"/>
    <x v="0"/>
  </r>
  <r>
    <s v="ORD063"/>
    <d v="2025-02-01T00:00:00"/>
    <s v="Pooja"/>
    <x v="1"/>
    <x v="4"/>
    <x v="0"/>
    <n v="5342.1804511277696"/>
    <n v="1.02481203007519"/>
    <n v="236.879699248126"/>
    <x v="0"/>
  </r>
  <r>
    <s v="ORD064"/>
    <d v="2025-03-01T00:00:00"/>
    <s v="Aman"/>
    <x v="3"/>
    <x v="5"/>
    <x v="1"/>
    <n v="5028.34586466167"/>
    <n v="1.02255639097744"/>
    <n v="194.43609022556601"/>
    <x v="0"/>
  </r>
  <r>
    <s v="ORD065"/>
    <d v="2025-03-01T00:00:00"/>
    <s v="Ankit"/>
    <x v="2"/>
    <x v="1"/>
    <x v="0"/>
    <n v="4714.5112781954704"/>
    <n v="1.0203007518797"/>
    <n v="151.99248120300601"/>
    <x v="0"/>
  </r>
  <r>
    <s v="ORD066"/>
    <d v="2025-03-01T00:00:00"/>
    <s v="Sneha"/>
    <x v="0"/>
    <x v="6"/>
    <x v="0"/>
    <n v="4400.6766917293698"/>
    <n v="1.0180451127819601"/>
    <n v="109.548872180456"/>
    <x v="0"/>
  </r>
  <r>
    <s v="ORD067"/>
    <d v="2025-03-01T00:00:00"/>
    <s v="Karan"/>
    <x v="1"/>
    <x v="2"/>
    <x v="1"/>
    <n v="4086.8421052631702"/>
    <n v="1.0157894736842099"/>
    <n v="67.105263157895905"/>
    <x v="0"/>
  </r>
  <r>
    <s v="ORD068"/>
    <d v="2025-04-01T00:00:00"/>
    <s v="Rahul"/>
    <x v="2"/>
    <x v="0"/>
    <x v="0"/>
    <n v="3773.0075187969701"/>
    <n v="1.01353383458647"/>
    <n v="24.661654135336001"/>
    <x v="0"/>
  </r>
  <r>
    <s v="ORD069"/>
    <d v="2025-04-01T00:00:00"/>
    <s v="Priya"/>
    <x v="3"/>
    <x v="3"/>
    <x v="1"/>
    <n v="3459.17293233087"/>
    <n v="1.01127819548872"/>
    <n v="-17.7819548872144"/>
    <x v="1"/>
  </r>
  <r>
    <s v="ORD070"/>
    <d v="2025-04-01T00:00:00"/>
    <s v="Amit"/>
    <x v="0"/>
    <x v="1"/>
    <x v="0"/>
    <n v="3145.3383458646699"/>
    <n v="1.00902255639098"/>
    <n v="-60.225563909774301"/>
    <x v="1"/>
  </r>
  <r>
    <s v="ORD071"/>
    <d v="2025-05-01T00:00:00"/>
    <s v="Neha"/>
    <x v="1"/>
    <x v="5"/>
    <x v="1"/>
    <n v="2831.5037593984698"/>
    <n v="1.0067669172932301"/>
    <n v="-102.66917293233401"/>
    <x v="1"/>
  </r>
  <r>
    <s v="ORD072"/>
    <d v="2025-05-01T00:00:00"/>
    <s v="Rohan"/>
    <x v="2"/>
    <x v="4"/>
    <x v="0"/>
    <n v="2517.6691729323702"/>
    <n v="1.0045112781954899"/>
    <n v="-145.11278195488401"/>
    <x v="1"/>
  </r>
  <r>
    <s v="ORD073"/>
    <d v="2025-05-01T00:00:00"/>
    <s v="Pooja"/>
    <x v="0"/>
    <x v="6"/>
    <x v="0"/>
    <n v="2203.8345864661701"/>
    <n v="1.00225563909774"/>
    <n v="-187.55639097744401"/>
    <x v="1"/>
  </r>
  <r>
    <s v="ORD074"/>
    <d v="2025-06-01T00:00:00"/>
    <s v="Aman"/>
    <x v="3"/>
    <x v="2"/>
    <x v="1"/>
    <n v="1889.99999999997"/>
    <n v="1"/>
    <n v="-229.999999999994"/>
    <x v="1"/>
  </r>
  <r>
    <s v="ORD075"/>
    <d v="2025-06-01T00:00:00"/>
    <s v="Ankit"/>
    <x v="1"/>
    <x v="1"/>
    <x v="0"/>
    <n v="1576.1654135338699"/>
    <n v="0.99774436090225505"/>
    <n v="-272.44360902255403"/>
    <x v="1"/>
  </r>
  <r>
    <s v="ORD076"/>
    <d v="2025-06-01T00:00:00"/>
    <s v="Sneha"/>
    <x v="2"/>
    <x v="0"/>
    <x v="0"/>
    <n v="1262.33082706767"/>
    <n v="0.99548872180451098"/>
    <n v="-314.88721804511403"/>
    <x v="1"/>
  </r>
  <r>
    <s v="ORD077"/>
    <d v="2025-06-01T00:00:00"/>
    <s v="Karan"/>
    <x v="0"/>
    <x v="3"/>
    <x v="1"/>
    <n v="948.49624060147096"/>
    <n v="0.99323308270676702"/>
    <n v="-357.33082706766402"/>
    <x v="1"/>
  </r>
  <r>
    <s v="ORD078"/>
    <d v="2025-01-01T00:00:00"/>
    <s v="Rahul"/>
    <x v="0"/>
    <x v="0"/>
    <x v="0"/>
    <n v="634.66165413537203"/>
    <n v="0.99097744360902196"/>
    <n v="-399.77443609022401"/>
    <x v="1"/>
  </r>
  <r>
    <s v="ORD079"/>
    <d v="2025-01-01T00:00:00"/>
    <s v="Priya"/>
    <x v="1"/>
    <x v="1"/>
    <x v="0"/>
    <n v="320.82706766917198"/>
    <n v="0.988721804511278"/>
    <n v="-442.21804511278401"/>
    <x v="1"/>
  </r>
  <r>
    <s v="ORD080"/>
    <d v="2025-01-01T00:00:00"/>
    <s v="Amit"/>
    <x v="2"/>
    <x v="2"/>
    <x v="1"/>
    <n v="6.9924812029712502"/>
    <n v="0.98646616541353305"/>
    <n v="-484.661654135334"/>
    <x v="1"/>
  </r>
  <r>
    <s v="Order ID"/>
    <d v="2025-02-01T00:00:00"/>
    <s v="Neha"/>
    <x v="3"/>
    <x v="3"/>
    <x v="1"/>
    <n v="306.842105263127"/>
    <n v="0.98421052631578898"/>
    <n v="-527.105263157894"/>
    <x v="1"/>
  </r>
  <r>
    <s v="ORD081"/>
    <d v="2025-02-01T00:00:00"/>
    <s v="Rohan"/>
    <x v="0"/>
    <x v="0"/>
    <x v="0"/>
    <n v="620.67669172932801"/>
    <n v="0.98195488721804502"/>
    <n v="-569.54887218045405"/>
    <x v="1"/>
  </r>
  <r>
    <s v="ORD082"/>
    <d v="2025-02-01T00:00:00"/>
    <s v="Pooja"/>
    <x v="1"/>
    <x v="4"/>
    <x v="0"/>
    <n v="934.51127819552903"/>
    <n v="0.97969924812029996"/>
    <n v="-611.99248120300399"/>
    <x v="1"/>
  </r>
  <r>
    <s v="ORD083"/>
    <d v="2025-03-01T00:00:00"/>
    <s v="Aman"/>
    <x v="3"/>
    <x v="5"/>
    <x v="1"/>
    <n v="1248.34586466163"/>
    <n v="0.977443609022556"/>
    <n v="-654.43609022556404"/>
    <x v="1"/>
  </r>
  <r>
    <s v="ORD084"/>
    <d v="2025-03-01T00:00:00"/>
    <s v="Ankit"/>
    <x v="2"/>
    <x v="1"/>
    <x v="0"/>
    <n v="1562.1804511278301"/>
    <n v="0.97518796992481205"/>
    <n v="-696.87969924812398"/>
    <x v="1"/>
  </r>
  <r>
    <s v="ORD085"/>
    <d v="2025-03-01T00:00:00"/>
    <s v="Sneha"/>
    <x v="0"/>
    <x v="6"/>
    <x v="0"/>
    <n v="1876.01503759403"/>
    <n v="0.97293233082706698"/>
    <n v="-739.32330827067403"/>
    <x v="1"/>
  </r>
  <r>
    <s v="ORD086"/>
    <d v="2025-03-01T00:00:00"/>
    <s v="Karan"/>
    <x v="1"/>
    <x v="2"/>
    <x v="1"/>
    <n v="2189.8496240601298"/>
    <n v="0.97067669172932303"/>
    <n v="-781.76691729323397"/>
    <x v="1"/>
  </r>
  <r>
    <s v="ORD087"/>
    <d v="2025-04-01T00:00:00"/>
    <s v="Rahul"/>
    <x v="2"/>
    <x v="0"/>
    <x v="0"/>
    <n v="2503.6842105263299"/>
    <n v="0.96842105263157896"/>
    <n v="-824.21052631578402"/>
    <x v="1"/>
  </r>
  <r>
    <s v="ORD088"/>
    <d v="2025-04-01T00:00:00"/>
    <s v="Priya"/>
    <x v="3"/>
    <x v="3"/>
    <x v="1"/>
    <n v="2817.51879699253"/>
    <n v="0.96616541353383401"/>
    <n v="-866.65413533834396"/>
    <x v="1"/>
  </r>
  <r>
    <s v="ORD089"/>
    <d v="2025-04-01T00:00:00"/>
    <s v="Amit"/>
    <x v="0"/>
    <x v="1"/>
    <x v="0"/>
    <n v="3131.3533834586301"/>
    <n v="0.96390977443609005"/>
    <n v="-909.09774436090402"/>
    <x v="1"/>
  </r>
  <r>
    <s v="ORD090"/>
    <d v="2025-05-01T00:00:00"/>
    <s v="Neha"/>
    <x v="1"/>
    <x v="5"/>
    <x v="1"/>
    <n v="3445.1879699248302"/>
    <n v="0.96165413533834498"/>
    <n v="-951.54135338345395"/>
    <x v="1"/>
  </r>
  <r>
    <s v="ORD091"/>
    <d v="2025-05-01T00:00:00"/>
    <s v="Rohan"/>
    <x v="2"/>
    <x v="4"/>
    <x v="0"/>
    <n v="3759.0225563909298"/>
    <n v="0.95939849624060103"/>
    <n v="-993.98496240601401"/>
    <x v="1"/>
  </r>
  <r>
    <s v="ORD092"/>
    <d v="2025-05-01T00:00:00"/>
    <s v="Pooja"/>
    <x v="0"/>
    <x v="6"/>
    <x v="0"/>
    <n v="4072.8571428571299"/>
    <n v="0.95714285714285696"/>
    <n v="-1036.42857142857"/>
    <x v="1"/>
  </r>
  <r>
    <s v="ORD093"/>
    <d v="2025-06-01T00:00:00"/>
    <s v="Aman"/>
    <x v="3"/>
    <x v="2"/>
    <x v="1"/>
    <n v="4386.69172932333"/>
    <n v="0.95488721804511201"/>
    <n v="-1078.8721804511199"/>
    <x v="1"/>
  </r>
  <r>
    <s v="ORD094"/>
    <d v="2025-06-01T00:00:00"/>
    <s v="Ankit"/>
    <x v="1"/>
    <x v="1"/>
    <x v="0"/>
    <n v="4700.5263157894296"/>
    <n v="0.95263157894736805"/>
    <n v="-1121.3157894736801"/>
    <x v="1"/>
  </r>
  <r>
    <s v="ORD095"/>
    <d v="2025-06-01T00:00:00"/>
    <s v="Sneha"/>
    <x v="2"/>
    <x v="0"/>
    <x v="0"/>
    <n v="5014.3609022556302"/>
    <n v="0.95037593984962399"/>
    <n v="-1163.75939849623"/>
    <x v="1"/>
  </r>
  <r>
    <s v="ORD096"/>
    <d v="2025-06-01T00:00:00"/>
    <s v="Karan"/>
    <x v="0"/>
    <x v="3"/>
    <x v="1"/>
    <n v="5328.1954887218299"/>
    <n v="0.94812030075187903"/>
    <n v="-1206.2030075187899"/>
    <x v="1"/>
  </r>
  <r>
    <s v="ORD097"/>
    <d v="2025-01-01T00:00:00"/>
    <s v="Rahul"/>
    <x v="0"/>
    <x v="0"/>
    <x v="0"/>
    <n v="5642.0300751879304"/>
    <n v="0.94586466165413496"/>
    <n v="-1248.6466165413501"/>
    <x v="1"/>
  </r>
  <r>
    <s v="ORD098"/>
    <d v="2025-01-01T00:00:00"/>
    <s v="Priya"/>
    <x v="1"/>
    <x v="1"/>
    <x v="0"/>
    <n v="5955.86466165413"/>
    <n v="0.94360902255639101"/>
    <n v="-1291.0902255639"/>
    <x v="1"/>
  </r>
  <r>
    <s v="ORD099"/>
    <d v="2025-01-01T00:00:00"/>
    <s v="Amit"/>
    <x v="2"/>
    <x v="2"/>
    <x v="1"/>
    <n v="6269.6992481203297"/>
    <n v="0.94135338345864605"/>
    <n v="-1333.53383458646"/>
    <x v="1"/>
  </r>
  <r>
    <s v="ORD100"/>
    <d v="2025-02-01T00:00:00"/>
    <s v="Neha"/>
    <x v="3"/>
    <x v="3"/>
    <x v="1"/>
    <n v="6583.5338345864302"/>
    <n v="0.93909774436090199"/>
    <n v="-1375.9774436090199"/>
    <x v="1"/>
  </r>
  <r>
    <s v="Order ID"/>
    <d v="2025-02-01T00:00:00"/>
    <s v="Rohan"/>
    <x v="0"/>
    <x v="0"/>
    <x v="0"/>
    <n v="6897.3684210526299"/>
    <n v="0.93684210526315803"/>
    <n v="-1418.4210526315701"/>
    <x v="1"/>
  </r>
  <r>
    <s v="ORD101"/>
    <d v="2025-02-01T00:00:00"/>
    <s v="Pooja"/>
    <x v="1"/>
    <x v="4"/>
    <x v="0"/>
    <n v="7211.2030075188304"/>
    <n v="0.93458646616541297"/>
    <n v="-1460.86466165413"/>
    <x v="1"/>
  </r>
  <r>
    <s v="ORD102"/>
    <d v="2025-03-01T00:00:00"/>
    <s v="Aman"/>
    <x v="3"/>
    <x v="5"/>
    <x v="1"/>
    <n v="7525.03759398493"/>
    <n v="0.93233082706766901"/>
    <n v="-1503.30827067669"/>
    <x v="1"/>
  </r>
  <r>
    <s v="ORD103"/>
    <d v="2025-03-01T00:00:00"/>
    <s v="Ankit"/>
    <x v="2"/>
    <x v="1"/>
    <x v="0"/>
    <n v="7838.8721804511297"/>
    <n v="0.93007518796992406"/>
    <n v="-1545.7518796992399"/>
    <x v="1"/>
  </r>
  <r>
    <s v="ORD104"/>
    <d v="2025-03-01T00:00:00"/>
    <s v="Sneha"/>
    <x v="0"/>
    <x v="6"/>
    <x v="0"/>
    <n v="8152.7067669173302"/>
    <n v="0.92781954887217999"/>
    <n v="-1588.1954887218001"/>
    <x v="1"/>
  </r>
  <r>
    <s v="ORD105"/>
    <d v="2025-03-01T00:00:00"/>
    <s v="Karan"/>
    <x v="1"/>
    <x v="2"/>
    <x v="1"/>
    <n v="8466.5413533834308"/>
    <n v="0.92556390977443603"/>
    <n v="-1630.63909774436"/>
    <x v="1"/>
  </r>
  <r>
    <s v="ORD106"/>
    <d v="2025-04-01T00:00:00"/>
    <s v="Rahul"/>
    <x v="2"/>
    <x v="0"/>
    <x v="0"/>
    <n v="8780.3759398496295"/>
    <n v="0.92330827067669097"/>
    <n v="-1673.08270676691"/>
    <x v="1"/>
  </r>
  <r>
    <s v="ORD107"/>
    <d v="2025-04-01T00:00:00"/>
    <s v="Priya"/>
    <x v="3"/>
    <x v="3"/>
    <x v="1"/>
    <n v="9094.2105263158301"/>
    <n v="0.92105263157894701"/>
    <n v="-1715.5263157894699"/>
    <x v="1"/>
  </r>
  <r>
    <s v="ORD108"/>
    <d v="2025-04-01T00:00:00"/>
    <s v="Amit"/>
    <x v="0"/>
    <x v="1"/>
    <x v="0"/>
    <n v="9408.0451127819306"/>
    <n v="0.91879699248120295"/>
    <n v="-1757.9699248120201"/>
    <x v="1"/>
  </r>
  <r>
    <s v="ORD109"/>
    <d v="2025-05-01T00:00:00"/>
    <s v="Neha"/>
    <x v="1"/>
    <x v="5"/>
    <x v="1"/>
    <n v="9721.8796992481293"/>
    <n v="0.91654135338345799"/>
    <n v="-1800.41353383458"/>
    <x v="1"/>
  </r>
  <r>
    <s v="ORD110"/>
    <d v="2025-05-01T00:00:00"/>
    <s v="Rohan"/>
    <x v="2"/>
    <x v="4"/>
    <x v="0"/>
    <n v="10035.714285714301"/>
    <n v="0.91428571428571404"/>
    <n v="-1842.8571428571399"/>
    <x v="1"/>
  </r>
  <r>
    <s v="ORD111"/>
    <d v="2025-05-01T00:00:00"/>
    <s v="Pooja"/>
    <x v="0"/>
    <x v="6"/>
    <x v="0"/>
    <n v="10349.548872180399"/>
    <n v="0.91203007518796997"/>
    <n v="-1885.3007518796901"/>
    <x v="1"/>
  </r>
  <r>
    <s v="ORD112"/>
    <d v="2025-06-01T00:00:00"/>
    <s v="Aman"/>
    <x v="3"/>
    <x v="2"/>
    <x v="1"/>
    <n v="10663.3834586466"/>
    <n v="0.90977443609022501"/>
    <n v="-1927.74436090225"/>
    <x v="1"/>
  </r>
  <r>
    <s v="ORD113"/>
    <d v="2025-06-01T00:00:00"/>
    <s v="Ankit"/>
    <x v="1"/>
    <x v="1"/>
    <x v="0"/>
    <n v="10977.218045112801"/>
    <n v="0.90751879699248095"/>
    <n v="-1970.18796992481"/>
    <x v="1"/>
  </r>
  <r>
    <s v="ORD114"/>
    <d v="2025-06-01T00:00:00"/>
    <s v="Sneha"/>
    <x v="2"/>
    <x v="0"/>
    <x v="0"/>
    <n v="11291.052631578899"/>
    <n v="0.90526315789473699"/>
    <n v="-2012.6315789473599"/>
    <x v="1"/>
  </r>
  <r>
    <s v="ORD115"/>
    <d v="2025-06-01T00:00:00"/>
    <s v="Karan"/>
    <x v="0"/>
    <x v="3"/>
    <x v="1"/>
    <n v="11604.8872180451"/>
    <n v="0.90300751879699204"/>
    <n v="-2055.0751879699201"/>
    <x v="1"/>
  </r>
  <r>
    <s v="ORD116"/>
    <d v="2025-01-01T00:00:00"/>
    <s v="Rahul"/>
    <x v="0"/>
    <x v="0"/>
    <x v="0"/>
    <n v="11918.7218045113"/>
    <n v="0.90075187969924797"/>
    <n v="-2097.51879699248"/>
    <x v="1"/>
  </r>
  <r>
    <s v="ORD117"/>
    <d v="2025-01-01T00:00:00"/>
    <s v="Priya"/>
    <x v="1"/>
    <x v="1"/>
    <x v="0"/>
    <n v="12232.556390977399"/>
    <n v="0.89849624060150302"/>
    <n v="-2139.96240601503"/>
    <x v="1"/>
  </r>
  <r>
    <s v="ORD118"/>
    <d v="2025-01-01T00:00:00"/>
    <s v="Amit"/>
    <x v="2"/>
    <x v="2"/>
    <x v="1"/>
    <n v="12546.3909774436"/>
    <n v="0.89624060150375895"/>
    <n v="-2182.4060150375899"/>
    <x v="1"/>
  </r>
  <r>
    <s v="ORD119"/>
    <d v="2025-02-01T00:00:00"/>
    <s v="Neha"/>
    <x v="3"/>
    <x v="3"/>
    <x v="1"/>
    <n v="12860.2255639098"/>
    <n v="0.89398496240601499"/>
    <n v="-2224.8496240601498"/>
    <x v="1"/>
  </r>
  <r>
    <s v="ORD120"/>
    <d v="2025-02-01T00:00:00"/>
    <s v="Rohan"/>
    <x v="0"/>
    <x v="0"/>
    <x v="0"/>
    <n v="13174.060150375901"/>
    <n v="0.89172932330827004"/>
    <n v="-2267.2932330827002"/>
    <x v="1"/>
  </r>
  <r>
    <s v="Order ID"/>
    <d v="2025-02-01T00:00:00"/>
    <s v="Pooja"/>
    <x v="1"/>
    <x v="4"/>
    <x v="0"/>
    <n v="13487.8947368421"/>
    <n v="0.88947368421052597"/>
    <n v="-2309.7368421052602"/>
    <x v="1"/>
  </r>
  <r>
    <s v="ORD121"/>
    <d v="2025-03-01T00:00:00"/>
    <s v="Aman"/>
    <x v="3"/>
    <x v="5"/>
    <x v="1"/>
    <n v="13801.7293233082"/>
    <n v="0.88721804511278202"/>
    <n v="-2352.1804511278101"/>
    <x v="1"/>
  </r>
  <r>
    <s v="ORD122"/>
    <d v="2025-03-01T00:00:00"/>
    <s v="Ankit"/>
    <x v="2"/>
    <x v="1"/>
    <x v="0"/>
    <n v="14115.563909774401"/>
    <n v="0.88496240601503695"/>
    <n v="-2394.62406015037"/>
    <x v="1"/>
  </r>
  <r>
    <s v="ORD123"/>
    <d v="2025-03-01T00:00:00"/>
    <s v="Sneha"/>
    <x v="0"/>
    <x v="6"/>
    <x v="0"/>
    <n v="14429.398496240599"/>
    <n v="0.882706766917293"/>
    <n v="-2437.06766917293"/>
    <x v="1"/>
  </r>
  <r>
    <s v="ORD124"/>
    <d v="2025-03-01T00:00:00"/>
    <s v="Karan"/>
    <x v="1"/>
    <x v="2"/>
    <x v="1"/>
    <n v="14743.2330827067"/>
    <n v="0.88045112781954904"/>
    <n v="-2479.5112781954799"/>
    <x v="1"/>
  </r>
  <r>
    <s v="ORD125"/>
    <d v="2025-04-01T00:00:00"/>
    <s v="Rahul"/>
    <x v="2"/>
    <x v="0"/>
    <x v="0"/>
    <n v="15057.0676691729"/>
    <n v="0.87819548872180397"/>
    <n v="-2521.9548872180399"/>
    <x v="1"/>
  </r>
  <r>
    <s v="ORD126"/>
    <d v="2025-04-01T00:00:00"/>
    <s v="Priya"/>
    <x v="3"/>
    <x v="3"/>
    <x v="1"/>
    <n v="15370.902255639099"/>
    <n v="0.87593984962406002"/>
    <n v="-2564.3984962405998"/>
    <x v="1"/>
  </r>
  <r>
    <s v="ORD127"/>
    <d v="2025-04-01T00:00:00"/>
    <s v="Amit"/>
    <x v="0"/>
    <x v="1"/>
    <x v="0"/>
    <n v="15684.7368421052"/>
    <n v="0.87368421052631495"/>
    <n v="-2606.8421052631502"/>
    <x v="1"/>
  </r>
  <r>
    <s v="ORD128"/>
    <d v="2025-05-01T00:00:00"/>
    <s v="Neha"/>
    <x v="1"/>
    <x v="5"/>
    <x v="1"/>
    <n v="15998.5714285714"/>
    <n v="0.871428571428571"/>
    <n v="-2649.2857142857101"/>
    <x v="1"/>
  </r>
  <r>
    <s v="ORD129"/>
    <d v="2025-05-01T00:00:00"/>
    <s v="Rohan"/>
    <x v="2"/>
    <x v="4"/>
    <x v="0"/>
    <n v="16312.406015037601"/>
    <n v="0.86917293233082704"/>
    <n v="-2691.7293233082701"/>
    <x v="1"/>
  </r>
  <r>
    <s v="ORD130"/>
    <d v="2025-05-01T00:00:00"/>
    <s v="Pooja"/>
    <x v="0"/>
    <x v="6"/>
    <x v="0"/>
    <n v="16626.240601503701"/>
    <n v="0.86691729323308198"/>
    <n v="-2734.17293233082"/>
    <x v="1"/>
  </r>
  <r>
    <s v="ORD131"/>
    <d v="2025-06-01T00:00:00"/>
    <s v="Aman"/>
    <x v="3"/>
    <x v="2"/>
    <x v="1"/>
    <n v="16940.075187969898"/>
    <n v="0.86466165413533802"/>
    <n v="-2776.6165413533799"/>
    <x v="1"/>
  </r>
  <r>
    <s v="ORD132"/>
    <d v="2025-06-01T00:00:00"/>
    <s v="Ankit"/>
    <x v="1"/>
    <x v="1"/>
    <x v="0"/>
    <n v="17253.909774436099"/>
    <n v="0.86240601503759395"/>
    <n v="-2819.0601503759299"/>
    <x v="1"/>
  </r>
  <r>
    <s v="ORD133"/>
    <d v="2025-06-01T00:00:00"/>
    <s v="Sneha"/>
    <x v="2"/>
    <x v="0"/>
    <x v="0"/>
    <n v="17567.744360902201"/>
    <n v="0.860150375939849"/>
    <n v="-2861.5037593984898"/>
    <x v="1"/>
  </r>
  <r>
    <s v="ORD134"/>
    <d v="2025-06-01T00:00:00"/>
    <s v="Karan"/>
    <x v="0"/>
    <x v="3"/>
    <x v="1"/>
    <n v="17881.578947368402"/>
    <n v="0.85789473684210504"/>
    <n v="-2903.9473684210502"/>
    <x v="1"/>
  </r>
  <r>
    <s v="ORD135"/>
    <d v="2025-01-01T00:00:00"/>
    <s v="Rahul"/>
    <x v="0"/>
    <x v="0"/>
    <x v="0"/>
    <n v="18195.413533834599"/>
    <n v="0.85563909774436098"/>
    <n v="-2946.3909774436001"/>
    <x v="1"/>
  </r>
  <r>
    <s v="ORD136"/>
    <d v="2025-01-01T00:00:00"/>
    <s v="Priya"/>
    <x v="1"/>
    <x v="1"/>
    <x v="0"/>
    <n v="18509.248120300701"/>
    <n v="0.85338345864661602"/>
    <n v="-2988.8345864661601"/>
    <x v="1"/>
  </r>
  <r>
    <s v="ORD137"/>
    <d v="2025-01-01T00:00:00"/>
    <s v="Amit"/>
    <x v="2"/>
    <x v="2"/>
    <x v="1"/>
    <n v="18823.082706766902"/>
    <n v="0.85112781954887196"/>
    <n v="-3031.27819548872"/>
    <x v="1"/>
  </r>
  <r>
    <s v="ORD138"/>
    <d v="2025-02-01T00:00:00"/>
    <s v="Neha"/>
    <x v="3"/>
    <x v="3"/>
    <x v="1"/>
    <n v="19136.917293233098"/>
    <n v="0.848872180451128"/>
    <n v="-3073.72180451127"/>
    <x v="1"/>
  </r>
  <r>
    <s v="ORD139"/>
    <d v="2025-02-01T00:00:00"/>
    <s v="Rohan"/>
    <x v="0"/>
    <x v="0"/>
    <x v="0"/>
    <n v="19450.751879699201"/>
    <n v="0.84661654135338305"/>
    <n v="-3116.1654135338299"/>
    <x v="1"/>
  </r>
  <r>
    <s v="ORD140"/>
    <d v="2025-02-01T00:00:00"/>
    <s v="Pooja"/>
    <x v="1"/>
    <x v="4"/>
    <x v="0"/>
    <n v="19764.586466165401"/>
    <n v="0.84436090225563898"/>
    <n v="-3158.6090225563798"/>
    <x v="1"/>
  </r>
  <r>
    <s v="Order ID"/>
    <d v="2025-03-01T00:00:00"/>
    <s v="Aman"/>
    <x v="3"/>
    <x v="5"/>
    <x v="1"/>
    <n v="20078.421052631598"/>
    <n v="0.84210526315789402"/>
    <n v="-3201.0526315789398"/>
    <x v="1"/>
  </r>
  <r>
    <s v="ORD141"/>
    <d v="2025-03-01T00:00:00"/>
    <s v="Ankit"/>
    <x v="2"/>
    <x v="1"/>
    <x v="0"/>
    <n v="20392.255639097701"/>
    <n v="0.83984962406014996"/>
    <n v="-3243.4962406015002"/>
    <x v="1"/>
  </r>
  <r>
    <s v="ORD142"/>
    <d v="2025-03-01T00:00:00"/>
    <s v="Sneha"/>
    <x v="0"/>
    <x v="6"/>
    <x v="0"/>
    <n v="20706.090225563901"/>
    <n v="0.837593984962406"/>
    <n v="-3285.9398496240501"/>
    <x v="1"/>
  </r>
  <r>
    <s v="ORD143"/>
    <d v="2025-03-01T00:00:00"/>
    <s v="Karan"/>
    <x v="1"/>
    <x v="2"/>
    <x v="1"/>
    <n v="21019.92481203"/>
    <n v="0.83533834586466105"/>
    <n v="-3328.3834586466101"/>
    <x v="1"/>
  </r>
  <r>
    <s v="ORD144"/>
    <d v="2025-04-01T00:00:00"/>
    <s v="Rahul"/>
    <x v="2"/>
    <x v="0"/>
    <x v="0"/>
    <n v="21333.7593984962"/>
    <n v="0.83308270676691698"/>
    <n v="-3370.82706766917"/>
    <x v="1"/>
  </r>
  <r>
    <s v="ORD145"/>
    <d v="2025-04-01T00:00:00"/>
    <s v="Priya"/>
    <x v="3"/>
    <x v="3"/>
    <x v="1"/>
    <n v="21647.593984962401"/>
    <n v="0.83082706766917302"/>
    <n v="-3413.2706766917199"/>
    <x v="1"/>
  </r>
  <r>
    <s v="ORD146"/>
    <d v="2025-04-01T00:00:00"/>
    <s v="Amit"/>
    <x v="0"/>
    <x v="1"/>
    <x v="0"/>
    <n v="21961.4285714285"/>
    <n v="0.82857142857142796"/>
    <n v="-3455.7142857142799"/>
    <x v="1"/>
  </r>
  <r>
    <s v="ORD147"/>
    <d v="2025-05-01T00:00:00"/>
    <s v="Neha"/>
    <x v="1"/>
    <x v="5"/>
    <x v="1"/>
    <n v="22275.2631578947"/>
    <n v="0.826315789473684"/>
    <n v="-3498.1578947368398"/>
    <x v="1"/>
  </r>
  <r>
    <s v="ORD148"/>
    <d v="2025-05-01T00:00:00"/>
    <s v="Rohan"/>
    <x v="2"/>
    <x v="4"/>
    <x v="0"/>
    <n v="22589.097744360901"/>
    <n v="0.82406015037594005"/>
    <n v="-3540.6015037593902"/>
    <x v="1"/>
  </r>
  <r>
    <s v="ORD149"/>
    <d v="2025-05-01T00:00:00"/>
    <s v="Pooja"/>
    <x v="0"/>
    <x v="6"/>
    <x v="0"/>
    <n v="22902.932330827"/>
    <n v="0.82180451127819498"/>
    <n v="-3583.0451127819501"/>
    <x v="1"/>
  </r>
  <r>
    <s v="ORD150"/>
    <d v="2025-06-01T00:00:00"/>
    <s v="Aman"/>
    <x v="3"/>
    <x v="2"/>
    <x v="1"/>
    <n v="23216.7669172932"/>
    <n v="0.81954887218045103"/>
    <n v="-3625.4887218045001"/>
    <x v="1"/>
  </r>
  <r>
    <s v="ORD151"/>
    <d v="2025-06-01T00:00:00"/>
    <s v="Ankit"/>
    <x v="1"/>
    <x v="1"/>
    <x v="0"/>
    <n v="23530.601503759401"/>
    <n v="0.81729323308270596"/>
    <n v="-3667.93233082706"/>
    <x v="1"/>
  </r>
  <r>
    <s v="ORD152"/>
    <d v="2025-06-01T00:00:00"/>
    <s v="Sneha"/>
    <x v="2"/>
    <x v="0"/>
    <x v="0"/>
    <n v="23844.436090225499"/>
    <n v="0.81503759398496201"/>
    <n v="-3710.37593984962"/>
    <x v="1"/>
  </r>
  <r>
    <s v="ORD153"/>
    <d v="2025-06-01T00:00:00"/>
    <s v="Karan"/>
    <x v="0"/>
    <x v="3"/>
    <x v="1"/>
    <n v="24158.2706766917"/>
    <n v="0.81278195488721805"/>
    <n v="-3752.8195488721699"/>
    <x v="1"/>
  </r>
  <r>
    <s v="ORD154"/>
    <d v="2025-01-01T00:00:00"/>
    <s v="Rahul"/>
    <x v="0"/>
    <x v="0"/>
    <x v="0"/>
    <n v="24472.1052631579"/>
    <n v="0.81052631578947298"/>
    <n v="-3795.2631578947298"/>
    <x v="1"/>
  </r>
  <r>
    <s v="ORD155"/>
    <d v="2025-01-01T00:00:00"/>
    <s v="Priya"/>
    <x v="1"/>
    <x v="1"/>
    <x v="0"/>
    <n v="24785.939849623999"/>
    <n v="0.80827067669172903"/>
    <n v="-3837.7067669172902"/>
    <x v="1"/>
  </r>
  <r>
    <s v="ORD156"/>
    <d v="2025-01-01T00:00:00"/>
    <s v="Amit"/>
    <x v="2"/>
    <x v="2"/>
    <x v="1"/>
    <n v="25099.7744360902"/>
    <n v="0.80601503759398496"/>
    <n v="-3880.1503759398402"/>
    <x v="1"/>
  </r>
  <r>
    <s v="ORD157"/>
    <d v="2025-02-01T00:00:00"/>
    <s v="Neha"/>
    <x v="3"/>
    <x v="3"/>
    <x v="1"/>
    <n v="25413.6090225564"/>
    <n v="0.80375939849624001"/>
    <n v="-3922.5939849624001"/>
    <x v="1"/>
  </r>
  <r>
    <s v="ORD158"/>
    <d v="2025-02-01T00:00:00"/>
    <s v="Rohan"/>
    <x v="0"/>
    <x v="0"/>
    <x v="0"/>
    <n v="25727.443609022499"/>
    <n v="0.80150375939849605"/>
    <n v="-3965.03759398496"/>
    <x v="1"/>
  </r>
  <r>
    <s v="ORD159"/>
    <d v="2025-02-01T00:00:00"/>
    <s v="Pooja"/>
    <x v="1"/>
    <x v="4"/>
    <x v="0"/>
    <n v="26041.2781954887"/>
    <n v="0.79924812030075199"/>
    <n v="-4007.48120300751"/>
    <x v="1"/>
  </r>
  <r>
    <s v="ORD160"/>
    <d v="2025-03-01T00:00:00"/>
    <s v="Aman"/>
    <x v="3"/>
    <x v="5"/>
    <x v="1"/>
    <n v="26355.1127819549"/>
    <n v="0.79699248120300703"/>
    <n v="-4049.9248120300699"/>
    <x v="1"/>
  </r>
  <r>
    <s v="Order ID"/>
    <d v="2025-03-01T00:00:00"/>
    <s v="Ankit"/>
    <x v="2"/>
    <x v="1"/>
    <x v="0"/>
    <n v="26668.947368420999"/>
    <n v="0.79473684210526296"/>
    <n v="-4092.3684210526299"/>
    <x v="1"/>
  </r>
  <r>
    <s v="ORD161"/>
    <d v="2025-03-01T00:00:00"/>
    <s v="Sneha"/>
    <x v="0"/>
    <x v="6"/>
    <x v="0"/>
    <n v="26982.781954887199"/>
    <n v="0.79248120300751801"/>
    <n v="-4134.8120300751798"/>
    <x v="1"/>
  </r>
  <r>
    <s v="ORD162"/>
    <d v="2025-03-01T00:00:00"/>
    <s v="Karan"/>
    <x v="1"/>
    <x v="2"/>
    <x v="1"/>
    <n v="27296.6165413534"/>
    <n v="0.79022556390977405"/>
    <n v="-4177.2556390977397"/>
    <x v="1"/>
  </r>
  <r>
    <s v="ORD163"/>
    <d v="2025-04-01T00:00:00"/>
    <s v="Rahul"/>
    <x v="2"/>
    <x v="0"/>
    <x v="0"/>
    <n v="27610.451127819499"/>
    <n v="0.78796992481202999"/>
    <n v="-4219.6992481202897"/>
    <x v="1"/>
  </r>
  <r>
    <s v="ORD164"/>
    <d v="2025-04-01T00:00:00"/>
    <s v="Priya"/>
    <x v="3"/>
    <x v="3"/>
    <x v="1"/>
    <n v="27924.285714285699"/>
    <n v="0.78571428571428503"/>
    <n v="-4262.1428571428596"/>
    <x v="1"/>
  </r>
  <r>
    <s v="ORD165"/>
    <d v="2025-04-01T00:00:00"/>
    <s v="Amit"/>
    <x v="0"/>
    <x v="1"/>
    <x v="0"/>
    <n v="28238.1203007519"/>
    <n v="0.78345864661654097"/>
    <n v="-4304.5864661654095"/>
    <x v="1"/>
  </r>
  <r>
    <s v="ORD166"/>
    <d v="2025-05-01T00:00:00"/>
    <s v="Neha"/>
    <x v="1"/>
    <x v="5"/>
    <x v="1"/>
    <n v="28551.954887217998"/>
    <n v="0.78120300751879701"/>
    <n v="-4347.0300751879604"/>
    <x v="1"/>
  </r>
  <r>
    <s v="ORD167"/>
    <d v="2025-05-01T00:00:00"/>
    <s v="Rohan"/>
    <x v="2"/>
    <x v="4"/>
    <x v="0"/>
    <n v="28865.789473684199"/>
    <n v="0.77894736842105206"/>
    <n v="-4389.4736842105203"/>
    <x v="1"/>
  </r>
  <r>
    <s v="ORD168"/>
    <d v="2025-05-01T00:00:00"/>
    <s v="Pooja"/>
    <x v="0"/>
    <x v="6"/>
    <x v="0"/>
    <n v="29179.6240601504"/>
    <n v="0.77669172932330799"/>
    <n v="-4431.9172932330803"/>
    <x v="1"/>
  </r>
  <r>
    <s v="ORD169"/>
    <d v="2025-06-01T00:00:00"/>
    <s v="Aman"/>
    <x v="3"/>
    <x v="2"/>
    <x v="1"/>
    <n v="29493.458646616498"/>
    <n v="0.77443609022556403"/>
    <n v="-4474.3609022556302"/>
    <x v="1"/>
  </r>
  <r>
    <s v="ORD170"/>
    <d v="2025-06-01T00:00:00"/>
    <s v="Ankit"/>
    <x v="1"/>
    <x v="1"/>
    <x v="0"/>
    <n v="29807.293233082699"/>
    <n v="0.77218045112781897"/>
    <n v="-4516.8045112781901"/>
    <x v="1"/>
  </r>
  <r>
    <s v="ORD171"/>
    <d v="2025-06-01T00:00:00"/>
    <s v="Sneha"/>
    <x v="2"/>
    <x v="0"/>
    <x v="0"/>
    <n v="30121.127819548899"/>
    <n v="0.76992481203007501"/>
    <n v="-4559.2481203007501"/>
    <x v="1"/>
  </r>
  <r>
    <s v="ORD172"/>
    <d v="2025-06-01T00:00:00"/>
    <s v="Karan"/>
    <x v="0"/>
    <x v="3"/>
    <x v="1"/>
    <n v="30434.962406015002"/>
    <n v="0.76766917293233095"/>
    <n v="-4601.6917293233"/>
    <x v="1"/>
  </r>
  <r>
    <s v="ORD173"/>
    <d v="2025-01-01T00:00:00"/>
    <s v="Rahul"/>
    <x v="0"/>
    <x v="0"/>
    <x v="0"/>
    <n v="30748.796992481199"/>
    <n v="0.76541353383458599"/>
    <n v="-4644.13533834586"/>
    <x v="1"/>
  </r>
  <r>
    <s v="ORD174"/>
    <d v="2025-01-01T00:00:00"/>
    <s v="Priya"/>
    <x v="1"/>
    <x v="1"/>
    <x v="0"/>
    <n v="31062.631578947301"/>
    <n v="0.76315789473684204"/>
    <n v="-4686.5789473684199"/>
    <x v="1"/>
  </r>
  <r>
    <s v="ORD175"/>
    <d v="2025-01-01T00:00:00"/>
    <s v="Amit"/>
    <x v="2"/>
    <x v="2"/>
    <x v="1"/>
    <n v="31376.466165413502"/>
    <n v="0.76090225563909697"/>
    <n v="-4729.0225563909698"/>
    <x v="1"/>
  </r>
  <r>
    <s v="ORD176"/>
    <d v="2025-02-01T00:00:00"/>
    <s v="Neha"/>
    <x v="3"/>
    <x v="3"/>
    <x v="1"/>
    <n v="31690.300751879699"/>
    <n v="0.75864661654135301"/>
    <n v="-4771.4661654135298"/>
    <x v="1"/>
  </r>
  <r>
    <s v="ORD177"/>
    <d v="2025-02-01T00:00:00"/>
    <s v="Rohan"/>
    <x v="0"/>
    <x v="0"/>
    <x v="0"/>
    <n v="32004.135338345801"/>
    <n v="0.75639097744360895"/>
    <n v="-4813.9097744360797"/>
    <x v="1"/>
  </r>
  <r>
    <s v="ORD178"/>
    <d v="2025-02-01T00:00:00"/>
    <s v="Pooja"/>
    <x v="1"/>
    <x v="4"/>
    <x v="0"/>
    <n v="32317.969924812001"/>
    <n v="0.75413533834586399"/>
    <n v="-4856.3533834586497"/>
    <x v="1"/>
  </r>
  <r>
    <s v="ORD179"/>
    <d v="2025-03-01T00:00:00"/>
    <s v="Aman"/>
    <x v="3"/>
    <x v="5"/>
    <x v="1"/>
    <n v="32631.804511278198"/>
    <n v="0.75187969924812004"/>
    <n v="-4898.7969924811996"/>
    <x v="1"/>
  </r>
  <r>
    <s v="ORD180"/>
    <d v="2025-03-01T00:00:00"/>
    <s v="Ankit"/>
    <x v="2"/>
    <x v="1"/>
    <x v="0"/>
    <n v="32945.639097744301"/>
    <n v="0.74962406015037597"/>
    <n v="-4941.2406015037504"/>
    <x v="1"/>
  </r>
  <r>
    <s v="Order ID"/>
    <d v="2025-03-01T00:00:00"/>
    <s v="Sneha"/>
    <x v="0"/>
    <x v="6"/>
    <x v="0"/>
    <n v="33259.473684210498"/>
    <n v="0.74736842105263102"/>
    <n v="-4983.6842105263104"/>
    <x v="1"/>
  </r>
  <r>
    <s v="ORD181"/>
    <d v="2025-03-01T00:00:00"/>
    <s v="Karan"/>
    <x v="1"/>
    <x v="2"/>
    <x v="1"/>
    <n v="33573.308270676702"/>
    <n v="0.74511278195488695"/>
    <n v="-5026.1278195488703"/>
    <x v="1"/>
  </r>
  <r>
    <s v="ORD182"/>
    <d v="2025-04-01T00:00:00"/>
    <s v="Rahul"/>
    <x v="2"/>
    <x v="0"/>
    <x v="0"/>
    <n v="33887.142857142797"/>
    <n v="0.74285714285714299"/>
    <n v="-5068.5714285714203"/>
    <x v="1"/>
  </r>
  <r>
    <s v="ORD183"/>
    <d v="2025-04-01T00:00:00"/>
    <s v="Priya"/>
    <x v="3"/>
    <x v="3"/>
    <x v="1"/>
    <n v="34200.977443609001"/>
    <n v="0.74060150375939804"/>
    <n v="-5111.0150375939802"/>
    <x v="1"/>
  </r>
  <r>
    <s v="ORD184"/>
    <d v="2025-04-01T00:00:00"/>
    <s v="Amit"/>
    <x v="0"/>
    <x v="1"/>
    <x v="0"/>
    <n v="34514.812030075198"/>
    <n v="0.73834586466165397"/>
    <n v="-5153.4586466165301"/>
    <x v="1"/>
  </r>
  <r>
    <s v="ORD185"/>
    <d v="2025-05-01T00:00:00"/>
    <s v="Neha"/>
    <x v="1"/>
    <x v="5"/>
    <x v="1"/>
    <n v="34828.6466165413"/>
    <n v="0.73609022556390902"/>
    <n v="-5195.9022556390901"/>
    <x v="1"/>
  </r>
  <r>
    <s v="ORD186"/>
    <d v="2025-05-01T00:00:00"/>
    <s v="Rohan"/>
    <x v="2"/>
    <x v="4"/>
    <x v="0"/>
    <n v="35142.481203007497"/>
    <n v="0.73383458646616495"/>
    <n v="-5238.34586466165"/>
    <x v="1"/>
  </r>
  <r>
    <s v="ORD187"/>
    <d v="2025-05-01T00:00:00"/>
    <s v="Pooja"/>
    <x v="0"/>
    <x v="6"/>
    <x v="0"/>
    <n v="35456.315789473701"/>
    <n v="0.731578947368421"/>
    <n v="-5280.7894736841999"/>
    <x v="1"/>
  </r>
  <r>
    <s v="ORD188"/>
    <d v="2025-06-01T00:00:00"/>
    <s v="Aman"/>
    <x v="3"/>
    <x v="2"/>
    <x v="1"/>
    <n v="35770.150375939797"/>
    <n v="0.72932330827067604"/>
    <n v="-5323.2330827067599"/>
    <x v="1"/>
  </r>
  <r>
    <s v="ORD189"/>
    <d v="2025-06-01T00:00:00"/>
    <s v="Ankit"/>
    <x v="1"/>
    <x v="1"/>
    <x v="0"/>
    <n v="36083.984962406001"/>
    <n v="0.72706766917293197"/>
    <n v="-5365.6766917293198"/>
    <x v="1"/>
  </r>
  <r>
    <s v="ORD190"/>
    <d v="2025-06-01T00:00:00"/>
    <s v="Sneha"/>
    <x v="2"/>
    <x v="0"/>
    <x v="0"/>
    <n v="36397.819548872198"/>
    <n v="0.72481203007518802"/>
    <n v="-5408.12030075186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5BB66-579F-42E7-BEEF-6794DD80888C}"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K8" firstHeaderRow="1" firstDataRow="1" firstDataCol="1"/>
  <pivotFields count="10">
    <pivotField showAll="0"/>
    <pivotField numFmtId="14" showAll="0"/>
    <pivotField showAll="0"/>
    <pivotField showAll="0">
      <items count="5">
        <item h="1" x="3"/>
        <item h="1" x="0"/>
        <item h="1" x="1"/>
        <item x="2"/>
        <item t="default"/>
      </items>
    </pivotField>
    <pivotField axis="axisRow" showAll="0">
      <items count="8">
        <item x="2"/>
        <item x="5"/>
        <item x="0"/>
        <item x="1"/>
        <item x="4"/>
        <item x="3"/>
        <item x="6"/>
        <item t="default"/>
      </items>
    </pivotField>
    <pivotField showAll="0">
      <items count="3">
        <item x="0"/>
        <item h="1" x="1"/>
        <item t="default"/>
      </items>
    </pivotField>
    <pivotField dataField="1" showAll="0"/>
    <pivotField numFmtId="9" showAll="0"/>
    <pivotField showAll="0"/>
    <pivotField showAll="0">
      <items count="3">
        <item x="1"/>
        <item h="1" x="0"/>
        <item t="default"/>
      </items>
    </pivotField>
  </pivotFields>
  <rowFields count="1">
    <field x="4"/>
  </rowFields>
  <rowItems count="4">
    <i>
      <x v="2"/>
    </i>
    <i>
      <x v="3"/>
    </i>
    <i>
      <x v="4"/>
    </i>
    <i t="grand">
      <x/>
    </i>
  </rowItems>
  <colItems count="1">
    <i/>
  </colItems>
  <dataFields count="1">
    <dataField name="Sum of Sales" fld="6" baseField="0" baseItem="0"/>
  </dataFields>
  <formats count="12">
    <format dxfId="639">
      <pivotArea type="all" dataOnly="0" outline="0" fieldPosition="0"/>
    </format>
    <format dxfId="638">
      <pivotArea outline="0" collapsedLevelsAreSubtotals="1" fieldPosition="0"/>
    </format>
    <format dxfId="637">
      <pivotArea field="4" type="button" dataOnly="0" labelOnly="1" outline="0" axis="axisRow" fieldPosition="0"/>
    </format>
    <format dxfId="636">
      <pivotArea dataOnly="0" labelOnly="1" fieldPosition="0">
        <references count="1">
          <reference field="4" count="3">
            <x v="0"/>
            <x v="1"/>
            <x v="5"/>
          </reference>
        </references>
      </pivotArea>
    </format>
    <format dxfId="635">
      <pivotArea dataOnly="0" labelOnly="1" grandRow="1" outline="0" fieldPosition="0"/>
    </format>
    <format dxfId="634">
      <pivotArea dataOnly="0" labelOnly="1" outline="0" axis="axisValues" fieldPosition="0"/>
    </format>
    <format dxfId="51">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3">
            <x v="2"/>
            <x v="3"/>
            <x v="4"/>
          </reference>
        </references>
      </pivotArea>
    </format>
    <format dxfId="41">
      <pivotArea dataOnly="0" labelOnly="1" grandRow="1" outline="0" fieldPosition="0"/>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0472A-9C71-470A-AFCA-461F36A74767}"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6" firstHeaderRow="1" firstDataRow="1" firstDataCol="1"/>
  <pivotFields count="10">
    <pivotField dataField="1" showAll="0"/>
    <pivotField numFmtId="14" showAll="0"/>
    <pivotField showAll="0"/>
    <pivotField showAll="0">
      <items count="5">
        <item h="1" x="3"/>
        <item h="1" x="0"/>
        <item h="1" x="1"/>
        <item x="2"/>
        <item t="default"/>
      </items>
    </pivotField>
    <pivotField showAll="0"/>
    <pivotField showAll="0">
      <items count="3">
        <item x="0"/>
        <item h="1" x="1"/>
        <item t="default"/>
      </items>
    </pivotField>
    <pivotField showAll="0"/>
    <pivotField numFmtId="9" showAll="0"/>
    <pivotField showAll="0"/>
    <pivotField axis="axisRow" showAll="0">
      <items count="3">
        <item x="1"/>
        <item h="1" x="0"/>
        <item t="default"/>
      </items>
    </pivotField>
  </pivotFields>
  <rowFields count="1">
    <field x="9"/>
  </rowFields>
  <rowItems count="2">
    <i>
      <x/>
    </i>
    <i t="grand">
      <x/>
    </i>
  </rowItems>
  <colItems count="1">
    <i/>
  </colItems>
  <dataFields count="1">
    <dataField name="Count of Order ID" fld="0" subtotal="count" baseField="0" baseItem="0"/>
  </dataFields>
  <formats count="12">
    <format dxfId="633">
      <pivotArea type="all" dataOnly="0" outline="0" fieldPosition="0"/>
    </format>
    <format dxfId="632">
      <pivotArea outline="0" collapsedLevelsAreSubtotals="1" fieldPosition="0"/>
    </format>
    <format dxfId="631">
      <pivotArea field="9" type="button" dataOnly="0" labelOnly="1" outline="0" axis="axisRow" fieldPosition="0"/>
    </format>
    <format dxfId="630">
      <pivotArea dataOnly="0" labelOnly="1" fieldPosition="0">
        <references count="1">
          <reference field="9" count="0"/>
        </references>
      </pivotArea>
    </format>
    <format dxfId="629">
      <pivotArea dataOnly="0" labelOnly="1" grandRow="1" outline="0" fieldPosition="0"/>
    </format>
    <format dxfId="628">
      <pivotArea dataOnly="0" labelOnly="1" outline="0" axis="axisValues" fieldPosition="0"/>
    </format>
    <format dxfId="38">
      <pivotArea type="all" dataOnly="0" outline="0" fieldPosition="0"/>
    </format>
    <format dxfId="31">
      <pivotArea outline="0" collapsedLevelsAreSubtotals="1" fieldPosition="0"/>
    </format>
    <format dxfId="30">
      <pivotArea field="9" type="button" dataOnly="0" labelOnly="1" outline="0" axis="axisRow" fieldPosition="0"/>
    </format>
    <format dxfId="29">
      <pivotArea dataOnly="0" labelOnly="1" fieldPosition="0">
        <references count="1">
          <reference field="9" count="0"/>
        </references>
      </pivotArea>
    </format>
    <format dxfId="28">
      <pivotArea dataOnly="0" labelOnly="1" grandRow="1" outline="0" fieldPosition="0"/>
    </format>
    <format dxfId="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8BDF2C-1ABE-4D30-9D06-9B6E15AEBA69}"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4:E6" firstHeaderRow="1" firstDataRow="1" firstDataCol="1"/>
  <pivotFields count="10">
    <pivotField showAll="0"/>
    <pivotField numFmtId="14" showAll="0"/>
    <pivotField showAll="0"/>
    <pivotField showAll="0">
      <items count="5">
        <item h="1" x="3"/>
        <item h="1" x="0"/>
        <item h="1" x="1"/>
        <item x="2"/>
        <item t="default"/>
      </items>
    </pivotField>
    <pivotField showAll="0"/>
    <pivotField axis="axisRow" showAll="0">
      <items count="3">
        <item x="0"/>
        <item h="1" x="1"/>
        <item t="default"/>
      </items>
    </pivotField>
    <pivotField showAll="0"/>
    <pivotField numFmtId="9" showAll="0"/>
    <pivotField dataField="1" showAll="0"/>
    <pivotField showAll="0">
      <items count="3">
        <item x="1"/>
        <item h="1" x="0"/>
        <item t="default"/>
      </items>
    </pivotField>
  </pivotFields>
  <rowFields count="1">
    <field x="5"/>
  </rowFields>
  <rowItems count="2">
    <i>
      <x/>
    </i>
    <i t="grand">
      <x/>
    </i>
  </rowItems>
  <colItems count="1">
    <i/>
  </colItems>
  <dataFields count="1">
    <dataField name="Sum of Profit" fld="8" baseField="0" baseItem="0"/>
  </dataFields>
  <formats count="12">
    <format dxfId="627">
      <pivotArea type="all" dataOnly="0" outline="0" fieldPosition="0"/>
    </format>
    <format dxfId="626">
      <pivotArea outline="0" collapsedLevelsAreSubtotals="1" fieldPosition="0"/>
    </format>
    <format dxfId="625">
      <pivotArea field="5" type="button" dataOnly="0" labelOnly="1" outline="0" axis="axisRow" fieldPosition="0"/>
    </format>
    <format dxfId="624">
      <pivotArea dataOnly="0" labelOnly="1" fieldPosition="0">
        <references count="1">
          <reference field="5" count="0"/>
        </references>
      </pivotArea>
    </format>
    <format dxfId="623">
      <pivotArea dataOnly="0" labelOnly="1" grandRow="1" outline="0" fieldPosition="0"/>
    </format>
    <format dxfId="622">
      <pivotArea dataOnly="0" labelOnly="1" outline="0" axis="axisValues" fieldPosition="0"/>
    </format>
    <format dxfId="25">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grandRow="1" outline="0"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B2E5A-3533-4F7E-8353-BCDEA5332FFC}"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6" firstHeaderRow="1" firstDataRow="1" firstDataCol="1"/>
  <pivotFields count="10">
    <pivotField showAll="0"/>
    <pivotField numFmtId="14" showAll="0"/>
    <pivotField showAll="0"/>
    <pivotField axis="axisRow" showAll="0">
      <items count="5">
        <item h="1" x="3"/>
        <item h="1" x="0"/>
        <item h="1" x="1"/>
        <item x="2"/>
        <item t="default"/>
      </items>
    </pivotField>
    <pivotField showAll="0"/>
    <pivotField showAll="0">
      <items count="3">
        <item x="0"/>
        <item h="1" x="1"/>
        <item t="default"/>
      </items>
    </pivotField>
    <pivotField dataField="1" showAll="0"/>
    <pivotField numFmtId="9" showAll="0"/>
    <pivotField showAll="0"/>
    <pivotField showAll="0">
      <items count="3">
        <item x="1"/>
        <item h="1" x="0"/>
        <item t="default"/>
      </items>
    </pivotField>
  </pivotFields>
  <rowFields count="1">
    <field x="3"/>
  </rowFields>
  <rowItems count="2">
    <i>
      <x v="3"/>
    </i>
    <i t="grand">
      <x/>
    </i>
  </rowItems>
  <colItems count="1">
    <i/>
  </colItems>
  <dataFields count="1">
    <dataField name="Sum of Sales" fld="6" baseField="0" baseItem="0"/>
  </dataFields>
  <formats count="12">
    <format dxfId="621">
      <pivotArea type="all" dataOnly="0" outline="0" fieldPosition="0"/>
    </format>
    <format dxfId="620">
      <pivotArea outline="0" collapsedLevelsAreSubtotals="1" fieldPosition="0"/>
    </format>
    <format dxfId="619">
      <pivotArea field="3" type="button" dataOnly="0" labelOnly="1" outline="0" axis="axisRow" fieldPosition="0"/>
    </format>
    <format dxfId="618">
      <pivotArea dataOnly="0" labelOnly="1" fieldPosition="0">
        <references count="1">
          <reference field="3" count="0"/>
        </references>
      </pivotArea>
    </format>
    <format dxfId="617">
      <pivotArea dataOnly="0" labelOnly="1" grandRow="1" outline="0" fieldPosition="0"/>
    </format>
    <format dxfId="616">
      <pivotArea dataOnly="0" labelOnly="1" outline="0" axis="axisValues" fieldPosition="0"/>
    </format>
    <format dxfId="12">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22DFD5-23DB-4A66-8493-B1A785A2DAA0}" sourceName="Region">
  <pivotTables>
    <pivotTable tabId="3" name="PivotTable4"/>
    <pivotTable tabId="3" name="PivotTable5"/>
    <pivotTable tabId="3" name="PivotTable6"/>
    <pivotTable tabId="3" name="PivotTable7"/>
  </pivotTables>
  <data>
    <tabular pivotCacheId="1893233793">
      <items count="4">
        <i x="0"/>
        <i x="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C43F2-4AF8-4B86-9F9E-4842FE8EEEAC}" sourceName="Category">
  <pivotTables>
    <pivotTable tabId="3" name="PivotTable4"/>
    <pivotTable tabId="3" name="PivotTable5"/>
    <pivotTable tabId="3" name="PivotTable6"/>
    <pivotTable tabId="3" name="PivotTable7"/>
  </pivotTables>
  <data>
    <tabular pivotCacheId="189323379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tatus" xr10:uid="{F66C8CC1-F4DC-4484-A209-C4EB051387FA}" sourceName="Profit status">
  <pivotTables>
    <pivotTable tabId="3" name="PivotTable4"/>
    <pivotTable tabId="3" name="PivotTable5"/>
    <pivotTable tabId="3" name="PivotTable6"/>
    <pivotTable tabId="3" name="PivotTable7"/>
  </pivotTables>
  <data>
    <tabular pivotCacheId="189323379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D1DBEC-1ED8-4DFA-B56A-103D42B945FB}" cache="Slicer_Region" caption="Region" columnCount="4" showCaption="0" style="SlicerStyleLight6" rowHeight="234950"/>
  <slicer name="Category" xr10:uid="{3F24EB2F-C28B-402A-BFA2-15BCAA26119B}" cache="Slicer_Category" caption="Category" columnCount="2" showCaption="0" style="SlicerStyleLight6" rowHeight="234950"/>
  <slicer name="Profit status" xr10:uid="{6A5FDCF2-F624-4939-8BA9-06AB3F184DED}" cache="Slicer_Profit_status" caption="Profit status" columnCount="2" showCaption="0"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3B25-4DBE-4EA6-A2D1-A675223427CC}">
  <dimension ref="A1:K8"/>
  <sheetViews>
    <sheetView tabSelected="1" zoomScale="104" workbookViewId="0">
      <selection activeCell="A2" sqref="A2"/>
    </sheetView>
  </sheetViews>
  <sheetFormatPr defaultRowHeight="14.4" x14ac:dyDescent="0.3"/>
  <cols>
    <col min="1" max="1" width="12.5546875" style="3" bestFit="1" customWidth="1"/>
    <col min="2" max="2" width="12.77734375" style="3" bestFit="1" customWidth="1"/>
    <col min="3" max="3" width="8.88671875" style="3"/>
    <col min="4" max="4" width="12.5546875" style="3" bestFit="1" customWidth="1"/>
    <col min="5" max="5" width="13.44140625" style="3" bestFit="1" customWidth="1"/>
    <col min="6" max="6" width="8.88671875" style="3"/>
    <col min="7" max="7" width="12.5546875" style="3" bestFit="1" customWidth="1"/>
    <col min="8" max="8" width="16.33203125" style="3" bestFit="1" customWidth="1"/>
    <col min="9" max="9" width="8.88671875" style="3"/>
    <col min="10" max="10" width="12.5546875" style="3" bestFit="1" customWidth="1"/>
    <col min="11" max="11" width="12.77734375" style="3" bestFit="1" customWidth="1"/>
    <col min="12" max="16384" width="8.88671875" style="3"/>
  </cols>
  <sheetData>
    <row r="1" spans="1:11" ht="38.4" customHeight="1" x14ac:dyDescent="0.6">
      <c r="E1" s="4" t="s">
        <v>229</v>
      </c>
    </row>
    <row r="2" spans="1:11" ht="66.599999999999994" customHeight="1" x14ac:dyDescent="0.3"/>
    <row r="4" spans="1:11" x14ac:dyDescent="0.3">
      <c r="A4" s="3" t="s">
        <v>222</v>
      </c>
      <c r="B4" s="3" t="s">
        <v>224</v>
      </c>
      <c r="D4" s="3" t="s">
        <v>222</v>
      </c>
      <c r="E4" s="3" t="s">
        <v>225</v>
      </c>
      <c r="G4" s="3" t="s">
        <v>222</v>
      </c>
      <c r="H4" s="3" t="s">
        <v>228</v>
      </c>
      <c r="J4" s="3" t="s">
        <v>222</v>
      </c>
      <c r="K4" s="3" t="s">
        <v>224</v>
      </c>
    </row>
    <row r="5" spans="1:11" x14ac:dyDescent="0.3">
      <c r="A5" s="5" t="s">
        <v>16</v>
      </c>
      <c r="B5" s="6">
        <v>457416.99248120253</v>
      </c>
      <c r="D5" s="5" t="s">
        <v>27</v>
      </c>
      <c r="E5" s="6">
        <v>-73465.338345864526</v>
      </c>
      <c r="G5" s="5" t="s">
        <v>227</v>
      </c>
      <c r="H5" s="6">
        <v>26</v>
      </c>
      <c r="J5" s="5" t="s">
        <v>20</v>
      </c>
      <c r="K5" s="6">
        <v>234671.35338345834</v>
      </c>
    </row>
    <row r="6" spans="1:11" x14ac:dyDescent="0.3">
      <c r="A6" s="5" t="s">
        <v>223</v>
      </c>
      <c r="B6" s="6">
        <v>457416.99248120253</v>
      </c>
      <c r="D6" s="5" t="s">
        <v>223</v>
      </c>
      <c r="E6" s="6">
        <v>-73465.338345864526</v>
      </c>
      <c r="G6" s="5" t="s">
        <v>223</v>
      </c>
      <c r="H6" s="6">
        <v>26</v>
      </c>
      <c r="J6" s="5" t="s">
        <v>21</v>
      </c>
      <c r="K6" s="6">
        <v>103523.45864661636</v>
      </c>
    </row>
    <row r="7" spans="1:11" x14ac:dyDescent="0.3">
      <c r="J7" s="5" t="s">
        <v>24</v>
      </c>
      <c r="K7" s="6">
        <v>119222.1804511278</v>
      </c>
    </row>
    <row r="8" spans="1:11" x14ac:dyDescent="0.3">
      <c r="J8" s="5" t="s">
        <v>223</v>
      </c>
      <c r="K8" s="6">
        <v>457416.99248120253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033E-834C-4827-816D-396018DF7952}">
  <dimension ref="A1:J200"/>
  <sheetViews>
    <sheetView zoomScale="179" workbookViewId="0">
      <selection activeCell="C8" sqref="A1:J200"/>
    </sheetView>
  </sheetViews>
  <sheetFormatPr defaultRowHeight="14.4" x14ac:dyDescent="0.3"/>
  <cols>
    <col min="2" max="2" width="18.33203125" customWidth="1"/>
    <col min="3" max="3" width="10.44140625" customWidth="1"/>
    <col min="4" max="7" width="15.21875" customWidth="1"/>
  </cols>
  <sheetData>
    <row r="1" spans="1:10" x14ac:dyDescent="0.3">
      <c r="A1" t="s">
        <v>213</v>
      </c>
      <c r="B1" t="s">
        <v>30</v>
      </c>
      <c r="C1" t="s">
        <v>7</v>
      </c>
      <c r="D1" t="s">
        <v>14</v>
      </c>
      <c r="E1" t="s">
        <v>19</v>
      </c>
      <c r="F1" t="s">
        <v>26</v>
      </c>
      <c r="G1" t="s">
        <v>214</v>
      </c>
      <c r="H1" t="s">
        <v>215</v>
      </c>
      <c r="I1" t="s">
        <v>216</v>
      </c>
      <c r="J1" t="s">
        <v>226</v>
      </c>
    </row>
    <row r="2" spans="1:10" x14ac:dyDescent="0.3">
      <c r="A2" t="s">
        <v>217</v>
      </c>
      <c r="B2" s="2">
        <v>45658</v>
      </c>
      <c r="C2" t="s">
        <v>8</v>
      </c>
      <c r="D2" t="s">
        <v>15</v>
      </c>
      <c r="E2" t="s">
        <v>20</v>
      </c>
      <c r="F2" t="s">
        <v>27</v>
      </c>
      <c r="G2">
        <v>55000</v>
      </c>
      <c r="H2" s="1">
        <v>1</v>
      </c>
      <c r="I2">
        <v>8000</v>
      </c>
      <c r="J2" t="str">
        <f>IF(I2&lt;0,"Loss","Profit")</f>
        <v>Profit</v>
      </c>
    </row>
    <row r="3" spans="1:10" x14ac:dyDescent="0.3">
      <c r="A3" t="s">
        <v>0</v>
      </c>
      <c r="B3" s="2">
        <v>45658</v>
      </c>
      <c r="C3" t="s">
        <v>29</v>
      </c>
      <c r="D3" t="s">
        <v>18</v>
      </c>
      <c r="E3" t="s">
        <v>21</v>
      </c>
      <c r="F3" t="s">
        <v>27</v>
      </c>
      <c r="G3">
        <v>22000</v>
      </c>
      <c r="H3" s="1">
        <v>1</v>
      </c>
      <c r="I3">
        <v>3000</v>
      </c>
      <c r="J3" t="str">
        <f t="shared" ref="J3:J66" si="0">IF(I3&lt;0,"Loss","Profit")</f>
        <v>Profit</v>
      </c>
    </row>
    <row r="4" spans="1:10" x14ac:dyDescent="0.3">
      <c r="A4" t="s">
        <v>1</v>
      </c>
      <c r="B4" s="2">
        <v>45658</v>
      </c>
      <c r="C4" t="s">
        <v>9</v>
      </c>
      <c r="D4" t="s">
        <v>16</v>
      </c>
      <c r="E4" t="s">
        <v>22</v>
      </c>
      <c r="F4" t="s">
        <v>28</v>
      </c>
      <c r="G4">
        <v>8000</v>
      </c>
      <c r="H4" s="1">
        <v>2</v>
      </c>
      <c r="I4">
        <v>-500</v>
      </c>
      <c r="J4" t="str">
        <f t="shared" si="0"/>
        <v>Loss</v>
      </c>
    </row>
    <row r="5" spans="1:10" x14ac:dyDescent="0.3">
      <c r="A5" t="s">
        <v>2</v>
      </c>
      <c r="B5" s="2">
        <v>45689</v>
      </c>
      <c r="C5" t="s">
        <v>10</v>
      </c>
      <c r="D5" t="s">
        <v>17</v>
      </c>
      <c r="E5" t="s">
        <v>23</v>
      </c>
      <c r="F5" t="s">
        <v>28</v>
      </c>
      <c r="G5">
        <v>12000</v>
      </c>
      <c r="H5" s="1">
        <v>1</v>
      </c>
      <c r="I5">
        <v>1500</v>
      </c>
      <c r="J5" t="str">
        <f t="shared" si="0"/>
        <v>Profit</v>
      </c>
    </row>
    <row r="6" spans="1:10" x14ac:dyDescent="0.3">
      <c r="A6" t="s">
        <v>3</v>
      </c>
      <c r="B6" s="2">
        <v>45689</v>
      </c>
      <c r="C6" t="s">
        <v>11</v>
      </c>
      <c r="D6" t="s">
        <v>15</v>
      </c>
      <c r="E6" t="s">
        <v>20</v>
      </c>
      <c r="F6" t="s">
        <v>27</v>
      </c>
      <c r="G6">
        <v>54000</v>
      </c>
      <c r="H6" s="1">
        <v>1</v>
      </c>
      <c r="I6">
        <v>7500</v>
      </c>
      <c r="J6" t="str">
        <f t="shared" si="0"/>
        <v>Profit</v>
      </c>
    </row>
    <row r="7" spans="1:10" x14ac:dyDescent="0.3">
      <c r="A7" t="s">
        <v>4</v>
      </c>
      <c r="B7" s="2">
        <v>45689</v>
      </c>
      <c r="C7" t="s">
        <v>12</v>
      </c>
      <c r="D7" t="s">
        <v>18</v>
      </c>
      <c r="E7" t="s">
        <v>24</v>
      </c>
      <c r="F7" t="s">
        <v>27</v>
      </c>
      <c r="G7">
        <v>9000</v>
      </c>
      <c r="H7" s="1">
        <v>1</v>
      </c>
      <c r="I7">
        <v>500</v>
      </c>
      <c r="J7" t="str">
        <f t="shared" si="0"/>
        <v>Profit</v>
      </c>
    </row>
    <row r="8" spans="1:10" x14ac:dyDescent="0.3">
      <c r="A8" t="s">
        <v>5</v>
      </c>
      <c r="B8" s="2">
        <v>45717</v>
      </c>
      <c r="C8" t="s">
        <v>13</v>
      </c>
      <c r="D8" t="s">
        <v>17</v>
      </c>
      <c r="E8" t="s">
        <v>25</v>
      </c>
      <c r="F8" t="s">
        <v>28</v>
      </c>
      <c r="G8">
        <v>15000</v>
      </c>
      <c r="H8" s="1">
        <v>1</v>
      </c>
      <c r="I8">
        <v>-300</v>
      </c>
      <c r="J8" t="str">
        <f t="shared" si="0"/>
        <v>Loss</v>
      </c>
    </row>
    <row r="9" spans="1:10" x14ac:dyDescent="0.3">
      <c r="A9" t="s">
        <v>6</v>
      </c>
      <c r="B9" s="2">
        <v>45717</v>
      </c>
      <c r="C9" t="s">
        <v>218</v>
      </c>
      <c r="D9" t="s">
        <v>16</v>
      </c>
      <c r="E9" t="s">
        <v>21</v>
      </c>
      <c r="F9" t="s">
        <v>27</v>
      </c>
      <c r="G9">
        <v>21000</v>
      </c>
      <c r="H9" s="1">
        <v>1</v>
      </c>
      <c r="I9">
        <v>2800</v>
      </c>
      <c r="J9" t="str">
        <f t="shared" si="0"/>
        <v>Profit</v>
      </c>
    </row>
    <row r="10" spans="1:10" x14ac:dyDescent="0.3">
      <c r="A10" t="s">
        <v>31</v>
      </c>
      <c r="B10" s="2">
        <v>45717</v>
      </c>
      <c r="C10" t="s">
        <v>219</v>
      </c>
      <c r="D10" t="s">
        <v>15</v>
      </c>
      <c r="E10" t="s">
        <v>220</v>
      </c>
      <c r="F10" t="s">
        <v>27</v>
      </c>
      <c r="G10">
        <v>18000</v>
      </c>
      <c r="H10" s="1">
        <v>1</v>
      </c>
      <c r="I10">
        <v>2000</v>
      </c>
      <c r="J10" t="str">
        <f t="shared" si="0"/>
        <v>Profit</v>
      </c>
    </row>
    <row r="11" spans="1:10" x14ac:dyDescent="0.3">
      <c r="A11" t="s">
        <v>32</v>
      </c>
      <c r="B11" s="2">
        <v>45717</v>
      </c>
      <c r="C11" t="s">
        <v>221</v>
      </c>
      <c r="D11" t="s">
        <v>18</v>
      </c>
      <c r="E11" t="s">
        <v>22</v>
      </c>
      <c r="F11" t="s">
        <v>28</v>
      </c>
      <c r="G11">
        <v>8500</v>
      </c>
      <c r="H11" s="1">
        <v>2</v>
      </c>
      <c r="I11">
        <v>-400</v>
      </c>
      <c r="J11" t="str">
        <f t="shared" si="0"/>
        <v>Loss</v>
      </c>
    </row>
    <row r="12" spans="1:10" x14ac:dyDescent="0.3">
      <c r="A12" t="s">
        <v>33</v>
      </c>
      <c r="B12" s="2">
        <v>45748</v>
      </c>
      <c r="C12" t="s">
        <v>8</v>
      </c>
      <c r="D12" t="s">
        <v>16</v>
      </c>
      <c r="E12" t="s">
        <v>20</v>
      </c>
      <c r="F12" t="s">
        <v>27</v>
      </c>
      <c r="G12">
        <v>56000</v>
      </c>
      <c r="H12" s="1">
        <v>1</v>
      </c>
      <c r="I12">
        <v>8200</v>
      </c>
      <c r="J12" t="str">
        <f t="shared" si="0"/>
        <v>Profit</v>
      </c>
    </row>
    <row r="13" spans="1:10" x14ac:dyDescent="0.3">
      <c r="A13" t="s">
        <v>34</v>
      </c>
      <c r="B13" s="2">
        <v>45748</v>
      </c>
      <c r="C13" t="s">
        <v>29</v>
      </c>
      <c r="D13" t="s">
        <v>17</v>
      </c>
      <c r="E13" t="s">
        <v>23</v>
      </c>
      <c r="F13" t="s">
        <v>28</v>
      </c>
      <c r="G13">
        <v>13000</v>
      </c>
      <c r="H13" s="1">
        <v>1</v>
      </c>
      <c r="I13">
        <v>1800</v>
      </c>
      <c r="J13" t="str">
        <f t="shared" si="0"/>
        <v>Profit</v>
      </c>
    </row>
    <row r="14" spans="1:10" x14ac:dyDescent="0.3">
      <c r="A14" t="s">
        <v>35</v>
      </c>
      <c r="B14" s="2">
        <v>45748</v>
      </c>
      <c r="C14" t="s">
        <v>9</v>
      </c>
      <c r="D14" t="s">
        <v>15</v>
      </c>
      <c r="E14" t="s">
        <v>21</v>
      </c>
      <c r="F14" t="s">
        <v>27</v>
      </c>
      <c r="G14">
        <v>23000</v>
      </c>
      <c r="H14" s="1">
        <v>1</v>
      </c>
      <c r="I14">
        <v>3100</v>
      </c>
      <c r="J14" t="str">
        <f t="shared" si="0"/>
        <v>Profit</v>
      </c>
    </row>
    <row r="15" spans="1:10" x14ac:dyDescent="0.3">
      <c r="A15" t="s">
        <v>36</v>
      </c>
      <c r="B15" s="2">
        <v>45778</v>
      </c>
      <c r="C15" t="s">
        <v>10</v>
      </c>
      <c r="D15" t="s">
        <v>18</v>
      </c>
      <c r="E15" t="s">
        <v>25</v>
      </c>
      <c r="F15" t="s">
        <v>28</v>
      </c>
      <c r="G15">
        <v>14500</v>
      </c>
      <c r="H15" s="1">
        <v>1</v>
      </c>
      <c r="I15">
        <v>-250</v>
      </c>
      <c r="J15" t="str">
        <f t="shared" si="0"/>
        <v>Loss</v>
      </c>
    </row>
    <row r="16" spans="1:10" x14ac:dyDescent="0.3">
      <c r="A16" t="s">
        <v>37</v>
      </c>
      <c r="B16" s="2">
        <v>45778</v>
      </c>
      <c r="C16" t="s">
        <v>11</v>
      </c>
      <c r="D16" t="s">
        <v>16</v>
      </c>
      <c r="E16" t="s">
        <v>24</v>
      </c>
      <c r="F16" t="s">
        <v>27</v>
      </c>
      <c r="G16">
        <v>9500</v>
      </c>
      <c r="H16" s="1">
        <v>1</v>
      </c>
      <c r="I16">
        <v>600</v>
      </c>
      <c r="J16" t="str">
        <f t="shared" si="0"/>
        <v>Profit</v>
      </c>
    </row>
    <row r="17" spans="1:10" x14ac:dyDescent="0.3">
      <c r="A17" t="s">
        <v>38</v>
      </c>
      <c r="B17" s="2">
        <v>45778</v>
      </c>
      <c r="C17" t="s">
        <v>12</v>
      </c>
      <c r="D17" t="s">
        <v>15</v>
      </c>
      <c r="E17" t="s">
        <v>220</v>
      </c>
      <c r="F17" t="s">
        <v>27</v>
      </c>
      <c r="G17">
        <v>17500</v>
      </c>
      <c r="H17" s="1">
        <v>1</v>
      </c>
      <c r="I17">
        <v>2100</v>
      </c>
      <c r="J17" t="str">
        <f t="shared" si="0"/>
        <v>Profit</v>
      </c>
    </row>
    <row r="18" spans="1:10" x14ac:dyDescent="0.3">
      <c r="A18" t="s">
        <v>39</v>
      </c>
      <c r="B18" s="2">
        <v>45809</v>
      </c>
      <c r="C18" t="s">
        <v>13</v>
      </c>
      <c r="D18" t="s">
        <v>17</v>
      </c>
      <c r="E18" t="s">
        <v>22</v>
      </c>
      <c r="F18" t="s">
        <v>28</v>
      </c>
      <c r="G18">
        <v>8200</v>
      </c>
      <c r="H18" s="1">
        <v>2</v>
      </c>
      <c r="I18">
        <v>-600</v>
      </c>
      <c r="J18" t="str">
        <f t="shared" si="0"/>
        <v>Loss</v>
      </c>
    </row>
    <row r="19" spans="1:10" x14ac:dyDescent="0.3">
      <c r="A19" t="s">
        <v>40</v>
      </c>
      <c r="B19" s="2">
        <v>45809</v>
      </c>
      <c r="C19" t="s">
        <v>218</v>
      </c>
      <c r="D19" t="s">
        <v>18</v>
      </c>
      <c r="E19" t="s">
        <v>21</v>
      </c>
      <c r="F19" t="s">
        <v>27</v>
      </c>
      <c r="G19">
        <v>21500</v>
      </c>
      <c r="H19" s="1">
        <v>1</v>
      </c>
      <c r="I19">
        <v>2900</v>
      </c>
      <c r="J19" t="str">
        <f t="shared" si="0"/>
        <v>Profit</v>
      </c>
    </row>
    <row r="20" spans="1:10" x14ac:dyDescent="0.3">
      <c r="A20" t="s">
        <v>41</v>
      </c>
      <c r="B20" s="2">
        <v>45809</v>
      </c>
      <c r="C20" t="s">
        <v>219</v>
      </c>
      <c r="D20" t="s">
        <v>16</v>
      </c>
      <c r="E20" t="s">
        <v>20</v>
      </c>
      <c r="F20" t="s">
        <v>27</v>
      </c>
      <c r="G20">
        <v>57000</v>
      </c>
      <c r="H20" s="1">
        <v>1</v>
      </c>
      <c r="I20">
        <v>8300</v>
      </c>
      <c r="J20" t="str">
        <f t="shared" si="0"/>
        <v>Profit</v>
      </c>
    </row>
    <row r="21" spans="1:10" x14ac:dyDescent="0.3">
      <c r="A21" t="s">
        <v>42</v>
      </c>
      <c r="B21" s="2">
        <v>45809</v>
      </c>
      <c r="C21" t="s">
        <v>221</v>
      </c>
      <c r="D21" t="s">
        <v>15</v>
      </c>
      <c r="E21" t="s">
        <v>23</v>
      </c>
      <c r="F21" t="s">
        <v>28</v>
      </c>
      <c r="G21">
        <v>12500</v>
      </c>
      <c r="H21" s="1">
        <v>1</v>
      </c>
      <c r="I21">
        <v>1600</v>
      </c>
      <c r="J21" t="str">
        <f t="shared" si="0"/>
        <v>Profit</v>
      </c>
    </row>
    <row r="22" spans="1:10" x14ac:dyDescent="0.3">
      <c r="A22" t="s">
        <v>213</v>
      </c>
      <c r="B22" s="2">
        <v>45658</v>
      </c>
      <c r="C22" t="s">
        <v>8</v>
      </c>
      <c r="D22" t="s">
        <v>15</v>
      </c>
      <c r="E22" t="s">
        <v>20</v>
      </c>
      <c r="F22" t="s">
        <v>27</v>
      </c>
      <c r="G22">
        <v>19464.7368421053</v>
      </c>
      <c r="H22" s="1">
        <v>1.1263157894736799</v>
      </c>
      <c r="I22">
        <v>2146.8421052631602</v>
      </c>
      <c r="J22" t="str">
        <f t="shared" si="0"/>
        <v>Profit</v>
      </c>
    </row>
    <row r="23" spans="1:10" x14ac:dyDescent="0.3">
      <c r="A23" t="s">
        <v>43</v>
      </c>
      <c r="B23" s="2">
        <v>45658</v>
      </c>
      <c r="C23" t="s">
        <v>29</v>
      </c>
      <c r="D23" t="s">
        <v>18</v>
      </c>
      <c r="E23" t="s">
        <v>21</v>
      </c>
      <c r="F23" t="s">
        <v>27</v>
      </c>
      <c r="G23">
        <v>19150.902255639099</v>
      </c>
      <c r="H23" s="1">
        <v>1.12406015037594</v>
      </c>
      <c r="I23">
        <v>2104.3984962405998</v>
      </c>
      <c r="J23" t="str">
        <f t="shared" si="0"/>
        <v>Profit</v>
      </c>
    </row>
    <row r="24" spans="1:10" x14ac:dyDescent="0.3">
      <c r="A24" t="s">
        <v>44</v>
      </c>
      <c r="B24" s="2">
        <v>45658</v>
      </c>
      <c r="C24" t="s">
        <v>9</v>
      </c>
      <c r="D24" t="s">
        <v>16</v>
      </c>
      <c r="E24" t="s">
        <v>22</v>
      </c>
      <c r="F24" t="s">
        <v>28</v>
      </c>
      <c r="G24">
        <v>18837.067669172899</v>
      </c>
      <c r="H24" s="1">
        <v>1.1218045112782</v>
      </c>
      <c r="I24">
        <v>2061.9548872180499</v>
      </c>
      <c r="J24" t="str">
        <f t="shared" si="0"/>
        <v>Profit</v>
      </c>
    </row>
    <row r="25" spans="1:10" x14ac:dyDescent="0.3">
      <c r="A25" t="s">
        <v>45</v>
      </c>
      <c r="B25" s="2">
        <v>45689</v>
      </c>
      <c r="C25" t="s">
        <v>10</v>
      </c>
      <c r="D25" t="s">
        <v>17</v>
      </c>
      <c r="E25" t="s">
        <v>23</v>
      </c>
      <c r="F25" t="s">
        <v>28</v>
      </c>
      <c r="G25">
        <v>18523.2330827068</v>
      </c>
      <c r="H25" s="1">
        <v>1.1195488721804501</v>
      </c>
      <c r="I25">
        <v>2019.5112781954899</v>
      </c>
      <c r="J25" t="str">
        <f t="shared" si="0"/>
        <v>Profit</v>
      </c>
    </row>
    <row r="26" spans="1:10" x14ac:dyDescent="0.3">
      <c r="A26" t="s">
        <v>46</v>
      </c>
      <c r="B26" s="2">
        <v>45689</v>
      </c>
      <c r="C26" t="s">
        <v>11</v>
      </c>
      <c r="D26" t="s">
        <v>15</v>
      </c>
      <c r="E26" t="s">
        <v>20</v>
      </c>
      <c r="F26" t="s">
        <v>27</v>
      </c>
      <c r="G26">
        <v>18209.398496240599</v>
      </c>
      <c r="H26" s="1">
        <v>1.1172932330827099</v>
      </c>
      <c r="I26">
        <v>1977.06766917294</v>
      </c>
      <c r="J26" t="str">
        <f t="shared" si="0"/>
        <v>Profit</v>
      </c>
    </row>
    <row r="27" spans="1:10" x14ac:dyDescent="0.3">
      <c r="A27" t="s">
        <v>47</v>
      </c>
      <c r="B27" s="2">
        <v>45689</v>
      </c>
      <c r="C27" t="s">
        <v>12</v>
      </c>
      <c r="D27" t="s">
        <v>18</v>
      </c>
      <c r="E27" t="s">
        <v>24</v>
      </c>
      <c r="F27" t="s">
        <v>27</v>
      </c>
      <c r="G27">
        <v>17895.563909774399</v>
      </c>
      <c r="H27" s="1">
        <v>1.1150375939849599</v>
      </c>
      <c r="I27">
        <v>1934.62406015038</v>
      </c>
      <c r="J27" t="str">
        <f t="shared" si="0"/>
        <v>Profit</v>
      </c>
    </row>
    <row r="28" spans="1:10" x14ac:dyDescent="0.3">
      <c r="A28" t="s">
        <v>48</v>
      </c>
      <c r="B28" s="2">
        <v>45717</v>
      </c>
      <c r="C28" t="s">
        <v>13</v>
      </c>
      <c r="D28" t="s">
        <v>17</v>
      </c>
      <c r="E28" t="s">
        <v>25</v>
      </c>
      <c r="F28" t="s">
        <v>28</v>
      </c>
      <c r="G28">
        <v>17581.7293233083</v>
      </c>
      <c r="H28" s="1">
        <v>1.11278195488722</v>
      </c>
      <c r="I28">
        <v>1892.1804511278201</v>
      </c>
      <c r="J28" t="str">
        <f t="shared" si="0"/>
        <v>Profit</v>
      </c>
    </row>
    <row r="29" spans="1:10" x14ac:dyDescent="0.3">
      <c r="A29" t="s">
        <v>49</v>
      </c>
      <c r="B29" s="2">
        <v>45717</v>
      </c>
      <c r="C29" t="s">
        <v>218</v>
      </c>
      <c r="D29" t="s">
        <v>16</v>
      </c>
      <c r="E29" t="s">
        <v>21</v>
      </c>
      <c r="F29" t="s">
        <v>27</v>
      </c>
      <c r="G29">
        <v>17267.8947368421</v>
      </c>
      <c r="H29" s="1">
        <v>1.11052631578947</v>
      </c>
      <c r="I29">
        <v>1849.7368421052699</v>
      </c>
      <c r="J29" t="str">
        <f t="shared" si="0"/>
        <v>Profit</v>
      </c>
    </row>
    <row r="30" spans="1:10" x14ac:dyDescent="0.3">
      <c r="A30" t="s">
        <v>50</v>
      </c>
      <c r="B30" s="2">
        <v>45717</v>
      </c>
      <c r="C30" t="s">
        <v>219</v>
      </c>
      <c r="D30" t="s">
        <v>15</v>
      </c>
      <c r="E30" t="s">
        <v>220</v>
      </c>
      <c r="F30" t="s">
        <v>27</v>
      </c>
      <c r="G30">
        <v>16954.060150375899</v>
      </c>
      <c r="H30" s="1">
        <v>1.1082706766917301</v>
      </c>
      <c r="I30">
        <v>1807.29323308271</v>
      </c>
      <c r="J30" t="str">
        <f t="shared" si="0"/>
        <v>Profit</v>
      </c>
    </row>
    <row r="31" spans="1:10" x14ac:dyDescent="0.3">
      <c r="A31" t="s">
        <v>51</v>
      </c>
      <c r="B31" s="2">
        <v>45717</v>
      </c>
      <c r="C31" t="s">
        <v>221</v>
      </c>
      <c r="D31" t="s">
        <v>18</v>
      </c>
      <c r="E31" t="s">
        <v>22</v>
      </c>
      <c r="F31" t="s">
        <v>28</v>
      </c>
      <c r="G31">
        <v>16640.2255639098</v>
      </c>
      <c r="H31" s="1">
        <v>1.1060150375939799</v>
      </c>
      <c r="I31">
        <v>1764.8496240601501</v>
      </c>
      <c r="J31" t="str">
        <f t="shared" si="0"/>
        <v>Profit</v>
      </c>
    </row>
    <row r="32" spans="1:10" x14ac:dyDescent="0.3">
      <c r="A32" t="s">
        <v>52</v>
      </c>
      <c r="B32" s="2">
        <v>45748</v>
      </c>
      <c r="C32" t="s">
        <v>8</v>
      </c>
      <c r="D32" t="s">
        <v>16</v>
      </c>
      <c r="E32" t="s">
        <v>20</v>
      </c>
      <c r="F32" t="s">
        <v>27</v>
      </c>
      <c r="G32">
        <v>16326.3909774436</v>
      </c>
      <c r="H32" s="1">
        <v>1.1037593984962399</v>
      </c>
      <c r="I32">
        <v>1722.4060150375999</v>
      </c>
      <c r="J32" t="str">
        <f t="shared" si="0"/>
        <v>Profit</v>
      </c>
    </row>
    <row r="33" spans="1:10" x14ac:dyDescent="0.3">
      <c r="A33" t="s">
        <v>53</v>
      </c>
      <c r="B33" s="2">
        <v>45748</v>
      </c>
      <c r="C33" t="s">
        <v>29</v>
      </c>
      <c r="D33" t="s">
        <v>17</v>
      </c>
      <c r="E33" t="s">
        <v>23</v>
      </c>
      <c r="F33" t="s">
        <v>28</v>
      </c>
      <c r="G33">
        <v>16012.556390977399</v>
      </c>
      <c r="H33" s="1">
        <v>1.1015037593985</v>
      </c>
      <c r="I33">
        <v>1679.96240601504</v>
      </c>
      <c r="J33" t="str">
        <f t="shared" si="0"/>
        <v>Profit</v>
      </c>
    </row>
    <row r="34" spans="1:10" x14ac:dyDescent="0.3">
      <c r="A34" t="s">
        <v>54</v>
      </c>
      <c r="B34" s="2">
        <v>45748</v>
      </c>
      <c r="C34" t="s">
        <v>9</v>
      </c>
      <c r="D34" t="s">
        <v>15</v>
      </c>
      <c r="E34" t="s">
        <v>21</v>
      </c>
      <c r="F34" t="s">
        <v>27</v>
      </c>
      <c r="G34">
        <v>15698.7218045113</v>
      </c>
      <c r="H34" s="1">
        <v>1.09924812030075</v>
      </c>
      <c r="I34">
        <v>1637.51879699249</v>
      </c>
      <c r="J34" t="str">
        <f t="shared" si="0"/>
        <v>Profit</v>
      </c>
    </row>
    <row r="35" spans="1:10" x14ac:dyDescent="0.3">
      <c r="A35" t="s">
        <v>55</v>
      </c>
      <c r="B35" s="2">
        <v>45778</v>
      </c>
      <c r="C35" t="s">
        <v>10</v>
      </c>
      <c r="D35" t="s">
        <v>18</v>
      </c>
      <c r="E35" t="s">
        <v>25</v>
      </c>
      <c r="F35" t="s">
        <v>28</v>
      </c>
      <c r="G35">
        <v>15384.8872180451</v>
      </c>
      <c r="H35" s="1">
        <v>1.0969924812030101</v>
      </c>
      <c r="I35">
        <v>1595.0751879699301</v>
      </c>
      <c r="J35" t="str">
        <f t="shared" si="0"/>
        <v>Profit</v>
      </c>
    </row>
    <row r="36" spans="1:10" x14ac:dyDescent="0.3">
      <c r="A36" t="s">
        <v>56</v>
      </c>
      <c r="B36" s="2">
        <v>45778</v>
      </c>
      <c r="C36" t="s">
        <v>11</v>
      </c>
      <c r="D36" t="s">
        <v>16</v>
      </c>
      <c r="E36" t="s">
        <v>24</v>
      </c>
      <c r="F36" t="s">
        <v>27</v>
      </c>
      <c r="G36">
        <v>15071.052631578999</v>
      </c>
      <c r="H36" s="1">
        <v>1.0947368421052599</v>
      </c>
      <c r="I36">
        <v>1552.6315789473699</v>
      </c>
      <c r="J36" t="str">
        <f t="shared" si="0"/>
        <v>Profit</v>
      </c>
    </row>
    <row r="37" spans="1:10" x14ac:dyDescent="0.3">
      <c r="A37" t="s">
        <v>57</v>
      </c>
      <c r="B37" s="2">
        <v>45778</v>
      </c>
      <c r="C37" t="s">
        <v>12</v>
      </c>
      <c r="D37" t="s">
        <v>15</v>
      </c>
      <c r="E37" t="s">
        <v>220</v>
      </c>
      <c r="F37" t="s">
        <v>27</v>
      </c>
      <c r="G37">
        <v>14757.218045112801</v>
      </c>
      <c r="H37" s="1">
        <v>1.0924812030075199</v>
      </c>
      <c r="I37">
        <v>1510.18796992482</v>
      </c>
      <c r="J37" t="str">
        <f t="shared" si="0"/>
        <v>Profit</v>
      </c>
    </row>
    <row r="38" spans="1:10" x14ac:dyDescent="0.3">
      <c r="A38" t="s">
        <v>58</v>
      </c>
      <c r="B38" s="2">
        <v>45809</v>
      </c>
      <c r="C38" t="s">
        <v>13</v>
      </c>
      <c r="D38" t="s">
        <v>17</v>
      </c>
      <c r="E38" t="s">
        <v>22</v>
      </c>
      <c r="F38" t="s">
        <v>28</v>
      </c>
      <c r="G38">
        <v>14443.3834586466</v>
      </c>
      <c r="H38" s="1">
        <v>1.09022556390977</v>
      </c>
      <c r="I38">
        <v>1467.74436090226</v>
      </c>
      <c r="J38" t="str">
        <f t="shared" si="0"/>
        <v>Profit</v>
      </c>
    </row>
    <row r="39" spans="1:10" x14ac:dyDescent="0.3">
      <c r="A39" t="s">
        <v>59</v>
      </c>
      <c r="B39" s="2">
        <v>45809</v>
      </c>
      <c r="C39" t="s">
        <v>218</v>
      </c>
      <c r="D39" t="s">
        <v>18</v>
      </c>
      <c r="E39" t="s">
        <v>21</v>
      </c>
      <c r="F39" t="s">
        <v>27</v>
      </c>
      <c r="G39">
        <v>14129.5488721805</v>
      </c>
      <c r="H39" s="1">
        <v>1.08796992481203</v>
      </c>
      <c r="I39">
        <v>1425.3007518797001</v>
      </c>
      <c r="J39" t="str">
        <f t="shared" si="0"/>
        <v>Profit</v>
      </c>
    </row>
    <row r="40" spans="1:10" x14ac:dyDescent="0.3">
      <c r="A40" t="s">
        <v>60</v>
      </c>
      <c r="B40" s="2">
        <v>45809</v>
      </c>
      <c r="C40" t="s">
        <v>219</v>
      </c>
      <c r="D40" t="s">
        <v>16</v>
      </c>
      <c r="E40" t="s">
        <v>20</v>
      </c>
      <c r="F40" t="s">
        <v>27</v>
      </c>
      <c r="G40">
        <v>13815.714285714301</v>
      </c>
      <c r="H40" s="1">
        <v>1.0857142857142901</v>
      </c>
      <c r="I40">
        <v>1382.8571428571499</v>
      </c>
      <c r="J40" t="str">
        <f t="shared" si="0"/>
        <v>Profit</v>
      </c>
    </row>
    <row r="41" spans="1:10" x14ac:dyDescent="0.3">
      <c r="A41" t="s">
        <v>61</v>
      </c>
      <c r="B41" s="2">
        <v>45809</v>
      </c>
      <c r="C41" t="s">
        <v>221</v>
      </c>
      <c r="D41" t="s">
        <v>15</v>
      </c>
      <c r="E41" t="s">
        <v>23</v>
      </c>
      <c r="F41" t="s">
        <v>28</v>
      </c>
      <c r="G41">
        <v>13501.8796992481</v>
      </c>
      <c r="H41" s="1">
        <v>1.0834586466165399</v>
      </c>
      <c r="I41">
        <v>1340.41353383459</v>
      </c>
      <c r="J41" t="str">
        <f t="shared" si="0"/>
        <v>Profit</v>
      </c>
    </row>
    <row r="42" spans="1:10" x14ac:dyDescent="0.3">
      <c r="A42" t="s">
        <v>62</v>
      </c>
      <c r="B42" s="2">
        <v>45658</v>
      </c>
      <c r="C42" t="s">
        <v>8</v>
      </c>
      <c r="D42" t="s">
        <v>15</v>
      </c>
      <c r="E42" t="s">
        <v>20</v>
      </c>
      <c r="F42" t="s">
        <v>27</v>
      </c>
      <c r="G42">
        <v>13188.045112782</v>
      </c>
      <c r="H42" s="1">
        <v>1.0812030075187999</v>
      </c>
      <c r="I42">
        <v>1297.9699248120301</v>
      </c>
      <c r="J42" t="str">
        <f t="shared" si="0"/>
        <v>Profit</v>
      </c>
    </row>
    <row r="43" spans="1:10" x14ac:dyDescent="0.3">
      <c r="A43" t="s">
        <v>213</v>
      </c>
      <c r="B43" s="2">
        <v>45658</v>
      </c>
      <c r="C43" t="s">
        <v>29</v>
      </c>
      <c r="D43" t="s">
        <v>18</v>
      </c>
      <c r="E43" t="s">
        <v>21</v>
      </c>
      <c r="F43" t="s">
        <v>27</v>
      </c>
      <c r="G43">
        <v>12874.210526315799</v>
      </c>
      <c r="H43" s="1">
        <v>1.07894736842105</v>
      </c>
      <c r="I43">
        <v>1255.5263157894799</v>
      </c>
      <c r="J43" t="str">
        <f t="shared" si="0"/>
        <v>Profit</v>
      </c>
    </row>
    <row r="44" spans="1:10" x14ac:dyDescent="0.3">
      <c r="A44" t="s">
        <v>63</v>
      </c>
      <c r="B44" s="2">
        <v>45658</v>
      </c>
      <c r="C44" t="s">
        <v>9</v>
      </c>
      <c r="D44" t="s">
        <v>16</v>
      </c>
      <c r="E44" t="s">
        <v>22</v>
      </c>
      <c r="F44" t="s">
        <v>28</v>
      </c>
      <c r="G44">
        <v>12560.3759398497</v>
      </c>
      <c r="H44" s="1">
        <v>1.07669172932331</v>
      </c>
      <c r="I44">
        <v>1213.08270676692</v>
      </c>
      <c r="J44" t="str">
        <f t="shared" si="0"/>
        <v>Profit</v>
      </c>
    </row>
    <row r="45" spans="1:10" x14ac:dyDescent="0.3">
      <c r="A45" t="s">
        <v>64</v>
      </c>
      <c r="B45" s="2">
        <v>45689</v>
      </c>
      <c r="C45" t="s">
        <v>10</v>
      </c>
      <c r="D45" t="s">
        <v>17</v>
      </c>
      <c r="E45" t="s">
        <v>23</v>
      </c>
      <c r="F45" t="s">
        <v>28</v>
      </c>
      <c r="G45">
        <v>12246.5413533835</v>
      </c>
      <c r="H45" s="1">
        <v>1.0744360902255601</v>
      </c>
      <c r="I45">
        <v>1170.63909774437</v>
      </c>
      <c r="J45" t="str">
        <f t="shared" si="0"/>
        <v>Profit</v>
      </c>
    </row>
    <row r="46" spans="1:10" x14ac:dyDescent="0.3">
      <c r="A46" t="s">
        <v>65</v>
      </c>
      <c r="B46" s="2">
        <v>45689</v>
      </c>
      <c r="C46" t="s">
        <v>11</v>
      </c>
      <c r="D46" t="s">
        <v>15</v>
      </c>
      <c r="E46" t="s">
        <v>20</v>
      </c>
      <c r="F46" t="s">
        <v>27</v>
      </c>
      <c r="G46">
        <v>11932.706766917299</v>
      </c>
      <c r="H46" s="1">
        <v>1.0721804511278199</v>
      </c>
      <c r="I46">
        <v>1128.1954887218101</v>
      </c>
      <c r="J46" t="str">
        <f t="shared" si="0"/>
        <v>Profit</v>
      </c>
    </row>
    <row r="47" spans="1:10" x14ac:dyDescent="0.3">
      <c r="A47" t="s">
        <v>66</v>
      </c>
      <c r="B47" s="2">
        <v>45689</v>
      </c>
      <c r="C47" t="s">
        <v>12</v>
      </c>
      <c r="D47" t="s">
        <v>18</v>
      </c>
      <c r="E47" t="s">
        <v>24</v>
      </c>
      <c r="F47" t="s">
        <v>27</v>
      </c>
      <c r="G47">
        <v>11618.872180451201</v>
      </c>
      <c r="H47" s="1">
        <v>1.0699248120300799</v>
      </c>
      <c r="I47">
        <v>1085.7518796992499</v>
      </c>
      <c r="J47" t="str">
        <f t="shared" si="0"/>
        <v>Profit</v>
      </c>
    </row>
    <row r="48" spans="1:10" x14ac:dyDescent="0.3">
      <c r="A48" t="s">
        <v>67</v>
      </c>
      <c r="B48" s="2">
        <v>45717</v>
      </c>
      <c r="C48" t="s">
        <v>13</v>
      </c>
      <c r="D48" t="s">
        <v>17</v>
      </c>
      <c r="E48" t="s">
        <v>25</v>
      </c>
      <c r="F48" t="s">
        <v>28</v>
      </c>
      <c r="G48">
        <v>11305.037593985</v>
      </c>
      <c r="H48" s="1">
        <v>1.06766917293233</v>
      </c>
      <c r="I48">
        <v>1043.3082706767</v>
      </c>
      <c r="J48" t="str">
        <f t="shared" si="0"/>
        <v>Profit</v>
      </c>
    </row>
    <row r="49" spans="1:10" x14ac:dyDescent="0.3">
      <c r="A49" t="s">
        <v>68</v>
      </c>
      <c r="B49" s="2">
        <v>45717</v>
      </c>
      <c r="C49" t="s">
        <v>218</v>
      </c>
      <c r="D49" t="s">
        <v>16</v>
      </c>
      <c r="E49" t="s">
        <v>21</v>
      </c>
      <c r="F49" t="s">
        <v>27</v>
      </c>
      <c r="G49">
        <v>10991.203007518799</v>
      </c>
      <c r="H49" s="1">
        <v>1.06541353383459</v>
      </c>
      <c r="I49">
        <v>1000.86466165414</v>
      </c>
      <c r="J49" t="str">
        <f t="shared" si="0"/>
        <v>Profit</v>
      </c>
    </row>
    <row r="50" spans="1:10" x14ac:dyDescent="0.3">
      <c r="A50" t="s">
        <v>69</v>
      </c>
      <c r="B50" s="2">
        <v>45717</v>
      </c>
      <c r="C50" t="s">
        <v>219</v>
      </c>
      <c r="D50" t="s">
        <v>15</v>
      </c>
      <c r="E50" t="s">
        <v>220</v>
      </c>
      <c r="F50" t="s">
        <v>27</v>
      </c>
      <c r="G50">
        <v>10677.368421052701</v>
      </c>
      <c r="H50" s="1">
        <v>1.0631578947368401</v>
      </c>
      <c r="I50">
        <v>958.421052631576</v>
      </c>
      <c r="J50" t="str">
        <f t="shared" si="0"/>
        <v>Profit</v>
      </c>
    </row>
    <row r="51" spans="1:10" x14ac:dyDescent="0.3">
      <c r="A51" t="s">
        <v>70</v>
      </c>
      <c r="B51" s="2">
        <v>45717</v>
      </c>
      <c r="C51" t="s">
        <v>221</v>
      </c>
      <c r="D51" t="s">
        <v>18</v>
      </c>
      <c r="E51" t="s">
        <v>22</v>
      </c>
      <c r="F51" t="s">
        <v>28</v>
      </c>
      <c r="G51">
        <v>10363.5338345865</v>
      </c>
      <c r="H51" s="1">
        <v>1.0609022556390999</v>
      </c>
      <c r="I51">
        <v>915.97744360902595</v>
      </c>
      <c r="J51" t="str">
        <f t="shared" si="0"/>
        <v>Profit</v>
      </c>
    </row>
    <row r="52" spans="1:10" x14ac:dyDescent="0.3">
      <c r="A52" t="s">
        <v>71</v>
      </c>
      <c r="B52" s="2">
        <v>45748</v>
      </c>
      <c r="C52" t="s">
        <v>8</v>
      </c>
      <c r="D52" t="s">
        <v>16</v>
      </c>
      <c r="E52" t="s">
        <v>20</v>
      </c>
      <c r="F52" t="s">
        <v>27</v>
      </c>
      <c r="G52">
        <v>10049.6992481203</v>
      </c>
      <c r="H52" s="1">
        <v>1.0586466165413499</v>
      </c>
      <c r="I52">
        <v>873.53383458646601</v>
      </c>
      <c r="J52" t="str">
        <f t="shared" si="0"/>
        <v>Profit</v>
      </c>
    </row>
    <row r="53" spans="1:10" x14ac:dyDescent="0.3">
      <c r="A53" t="s">
        <v>72</v>
      </c>
      <c r="B53" s="2">
        <v>45748</v>
      </c>
      <c r="C53" t="s">
        <v>29</v>
      </c>
      <c r="D53" t="s">
        <v>17</v>
      </c>
      <c r="E53" t="s">
        <v>23</v>
      </c>
      <c r="F53" t="s">
        <v>28</v>
      </c>
      <c r="G53">
        <v>9735.86466165417</v>
      </c>
      <c r="H53" s="1">
        <v>1.05639097744361</v>
      </c>
      <c r="I53">
        <v>831.09022556390596</v>
      </c>
      <c r="J53" t="str">
        <f t="shared" si="0"/>
        <v>Profit</v>
      </c>
    </row>
    <row r="54" spans="1:10" x14ac:dyDescent="0.3">
      <c r="A54" t="s">
        <v>73</v>
      </c>
      <c r="B54" s="2">
        <v>45748</v>
      </c>
      <c r="C54" t="s">
        <v>9</v>
      </c>
      <c r="D54" t="s">
        <v>15</v>
      </c>
      <c r="E54" t="s">
        <v>21</v>
      </c>
      <c r="F54" t="s">
        <v>27</v>
      </c>
      <c r="G54">
        <v>9422.0300751879695</v>
      </c>
      <c r="H54" s="1">
        <v>1.05413533834586</v>
      </c>
      <c r="I54">
        <v>788.64661654135602</v>
      </c>
      <c r="J54" t="str">
        <f t="shared" si="0"/>
        <v>Profit</v>
      </c>
    </row>
    <row r="55" spans="1:10" x14ac:dyDescent="0.3">
      <c r="A55" t="s">
        <v>74</v>
      </c>
      <c r="B55" s="2">
        <v>45778</v>
      </c>
      <c r="C55" t="s">
        <v>10</v>
      </c>
      <c r="D55" t="s">
        <v>18</v>
      </c>
      <c r="E55" t="s">
        <v>25</v>
      </c>
      <c r="F55" t="s">
        <v>28</v>
      </c>
      <c r="G55">
        <v>9108.1954887217707</v>
      </c>
      <c r="H55" s="1">
        <v>1.0518796992481201</v>
      </c>
      <c r="I55">
        <v>746.20300751879597</v>
      </c>
      <c r="J55" t="str">
        <f t="shared" si="0"/>
        <v>Profit</v>
      </c>
    </row>
    <row r="56" spans="1:10" x14ac:dyDescent="0.3">
      <c r="A56" t="s">
        <v>75</v>
      </c>
      <c r="B56" s="2">
        <v>45778</v>
      </c>
      <c r="C56" t="s">
        <v>11</v>
      </c>
      <c r="D56" t="s">
        <v>16</v>
      </c>
      <c r="E56" t="s">
        <v>24</v>
      </c>
      <c r="F56" t="s">
        <v>27</v>
      </c>
      <c r="G56">
        <v>8794.3609022556702</v>
      </c>
      <c r="H56" s="1">
        <v>1.0496240601503799</v>
      </c>
      <c r="I56">
        <v>703.75939849624604</v>
      </c>
      <c r="J56" t="str">
        <f t="shared" si="0"/>
        <v>Profit</v>
      </c>
    </row>
    <row r="57" spans="1:10" x14ac:dyDescent="0.3">
      <c r="A57" t="s">
        <v>76</v>
      </c>
      <c r="B57" s="2">
        <v>45778</v>
      </c>
      <c r="C57" t="s">
        <v>12</v>
      </c>
      <c r="D57" t="s">
        <v>15</v>
      </c>
      <c r="E57" t="s">
        <v>220</v>
      </c>
      <c r="F57" t="s">
        <v>27</v>
      </c>
      <c r="G57">
        <v>8480.5263157894697</v>
      </c>
      <c r="H57" s="1">
        <v>1.0473684210526299</v>
      </c>
      <c r="I57">
        <v>661.31578947368598</v>
      </c>
      <c r="J57" t="str">
        <f t="shared" si="0"/>
        <v>Profit</v>
      </c>
    </row>
    <row r="58" spans="1:10" x14ac:dyDescent="0.3">
      <c r="A58" t="s">
        <v>77</v>
      </c>
      <c r="B58" s="2">
        <v>45809</v>
      </c>
      <c r="C58" t="s">
        <v>13</v>
      </c>
      <c r="D58" t="s">
        <v>17</v>
      </c>
      <c r="E58" t="s">
        <v>22</v>
      </c>
      <c r="F58" t="s">
        <v>28</v>
      </c>
      <c r="G58">
        <v>8166.69172932327</v>
      </c>
      <c r="H58" s="1">
        <v>1.04511278195489</v>
      </c>
      <c r="I58">
        <v>618.87218045112604</v>
      </c>
      <c r="J58" t="str">
        <f t="shared" si="0"/>
        <v>Profit</v>
      </c>
    </row>
    <row r="59" spans="1:10" x14ac:dyDescent="0.3">
      <c r="A59" t="s">
        <v>78</v>
      </c>
      <c r="B59" s="2">
        <v>45809</v>
      </c>
      <c r="C59" t="s">
        <v>218</v>
      </c>
      <c r="D59" t="s">
        <v>18</v>
      </c>
      <c r="E59" t="s">
        <v>21</v>
      </c>
      <c r="F59" t="s">
        <v>27</v>
      </c>
      <c r="G59">
        <v>7852.8571428571704</v>
      </c>
      <c r="H59" s="1">
        <v>1.04285714285714</v>
      </c>
      <c r="I59">
        <v>576.42857142857599</v>
      </c>
      <c r="J59" t="str">
        <f t="shared" si="0"/>
        <v>Profit</v>
      </c>
    </row>
    <row r="60" spans="1:10" x14ac:dyDescent="0.3">
      <c r="A60" t="s">
        <v>79</v>
      </c>
      <c r="B60" s="2">
        <v>45809</v>
      </c>
      <c r="C60" t="s">
        <v>219</v>
      </c>
      <c r="D60" t="s">
        <v>16</v>
      </c>
      <c r="E60" t="s">
        <v>20</v>
      </c>
      <c r="F60" t="s">
        <v>27</v>
      </c>
      <c r="G60">
        <v>7539.0225563909698</v>
      </c>
      <c r="H60" s="1">
        <v>1.0406015037594001</v>
      </c>
      <c r="I60">
        <v>533.98496240601605</v>
      </c>
      <c r="J60" t="str">
        <f t="shared" si="0"/>
        <v>Profit</v>
      </c>
    </row>
    <row r="61" spans="1:10" x14ac:dyDescent="0.3">
      <c r="A61" t="s">
        <v>80</v>
      </c>
      <c r="B61" s="2">
        <v>45809</v>
      </c>
      <c r="C61" t="s">
        <v>221</v>
      </c>
      <c r="D61" t="s">
        <v>15</v>
      </c>
      <c r="E61" t="s">
        <v>23</v>
      </c>
      <c r="F61" t="s">
        <v>28</v>
      </c>
      <c r="G61">
        <v>7225.1879699247702</v>
      </c>
      <c r="H61" s="1">
        <v>1.0383458646616499</v>
      </c>
      <c r="I61">
        <v>491.541353383456</v>
      </c>
      <c r="J61" t="str">
        <f t="shared" si="0"/>
        <v>Profit</v>
      </c>
    </row>
    <row r="62" spans="1:10" x14ac:dyDescent="0.3">
      <c r="A62" t="s">
        <v>81</v>
      </c>
      <c r="B62" s="2">
        <v>45658</v>
      </c>
      <c r="C62" t="s">
        <v>8</v>
      </c>
      <c r="D62" t="s">
        <v>15</v>
      </c>
      <c r="E62" t="s">
        <v>20</v>
      </c>
      <c r="F62" t="s">
        <v>27</v>
      </c>
      <c r="G62">
        <v>6911.3533834586697</v>
      </c>
      <c r="H62" s="1">
        <v>1.03609022556391</v>
      </c>
      <c r="I62">
        <v>449.09774436090601</v>
      </c>
      <c r="J62" t="str">
        <f t="shared" si="0"/>
        <v>Profit</v>
      </c>
    </row>
    <row r="63" spans="1:10" x14ac:dyDescent="0.3">
      <c r="A63" t="s">
        <v>82</v>
      </c>
      <c r="B63" s="2">
        <v>45658</v>
      </c>
      <c r="C63" t="s">
        <v>29</v>
      </c>
      <c r="D63" t="s">
        <v>18</v>
      </c>
      <c r="E63" t="s">
        <v>21</v>
      </c>
      <c r="F63" t="s">
        <v>27</v>
      </c>
      <c r="G63">
        <v>6597.51879699247</v>
      </c>
      <c r="H63" s="1">
        <v>1.03383458646617</v>
      </c>
      <c r="I63">
        <v>406.65413533834601</v>
      </c>
      <c r="J63" t="str">
        <f t="shared" si="0"/>
        <v>Profit</v>
      </c>
    </row>
    <row r="64" spans="1:10" x14ac:dyDescent="0.3">
      <c r="A64" t="s">
        <v>213</v>
      </c>
      <c r="B64" s="2">
        <v>45658</v>
      </c>
      <c r="C64" t="s">
        <v>9</v>
      </c>
      <c r="D64" t="s">
        <v>16</v>
      </c>
      <c r="E64" t="s">
        <v>22</v>
      </c>
      <c r="F64" t="s">
        <v>28</v>
      </c>
      <c r="G64">
        <v>6283.6842105262704</v>
      </c>
      <c r="H64" s="1">
        <v>1.03157894736842</v>
      </c>
      <c r="I64">
        <v>364.21052631578601</v>
      </c>
      <c r="J64" t="str">
        <f t="shared" si="0"/>
        <v>Profit</v>
      </c>
    </row>
    <row r="65" spans="1:10" x14ac:dyDescent="0.3">
      <c r="A65" t="s">
        <v>83</v>
      </c>
      <c r="B65" s="2">
        <v>45689</v>
      </c>
      <c r="C65" t="s">
        <v>10</v>
      </c>
      <c r="D65" t="s">
        <v>17</v>
      </c>
      <c r="E65" t="s">
        <v>23</v>
      </c>
      <c r="F65" t="s">
        <v>28</v>
      </c>
      <c r="G65">
        <v>5969.8496240601698</v>
      </c>
      <c r="H65" s="1">
        <v>1.0293233082706801</v>
      </c>
      <c r="I65">
        <v>321.76691729323602</v>
      </c>
      <c r="J65" t="str">
        <f t="shared" si="0"/>
        <v>Profit</v>
      </c>
    </row>
    <row r="66" spans="1:10" x14ac:dyDescent="0.3">
      <c r="A66" t="s">
        <v>84</v>
      </c>
      <c r="B66" s="2">
        <v>45689</v>
      </c>
      <c r="C66" t="s">
        <v>11</v>
      </c>
      <c r="D66" t="s">
        <v>15</v>
      </c>
      <c r="E66" t="s">
        <v>20</v>
      </c>
      <c r="F66" t="s">
        <v>27</v>
      </c>
      <c r="G66">
        <v>5656.0150375939702</v>
      </c>
      <c r="H66" s="1">
        <v>1.0270676691729299</v>
      </c>
      <c r="I66">
        <v>279.32330827067602</v>
      </c>
      <c r="J66" t="str">
        <f t="shared" si="0"/>
        <v>Profit</v>
      </c>
    </row>
    <row r="67" spans="1:10" x14ac:dyDescent="0.3">
      <c r="A67" t="s">
        <v>85</v>
      </c>
      <c r="B67" s="2">
        <v>45689</v>
      </c>
      <c r="C67" t="s">
        <v>12</v>
      </c>
      <c r="D67" t="s">
        <v>18</v>
      </c>
      <c r="E67" t="s">
        <v>24</v>
      </c>
      <c r="F67" t="s">
        <v>27</v>
      </c>
      <c r="G67">
        <v>5342.1804511277696</v>
      </c>
      <c r="H67" s="1">
        <v>1.02481203007519</v>
      </c>
      <c r="I67">
        <v>236.879699248126</v>
      </c>
      <c r="J67" t="str">
        <f t="shared" ref="J67:J130" si="1">IF(I67&lt;0,"Loss","Profit")</f>
        <v>Profit</v>
      </c>
    </row>
    <row r="68" spans="1:10" x14ac:dyDescent="0.3">
      <c r="A68" t="s">
        <v>86</v>
      </c>
      <c r="B68" s="2">
        <v>45717</v>
      </c>
      <c r="C68" t="s">
        <v>13</v>
      </c>
      <c r="D68" t="s">
        <v>17</v>
      </c>
      <c r="E68" t="s">
        <v>25</v>
      </c>
      <c r="F68" t="s">
        <v>28</v>
      </c>
      <c r="G68">
        <v>5028.34586466167</v>
      </c>
      <c r="H68" s="1">
        <v>1.02255639097744</v>
      </c>
      <c r="I68">
        <v>194.43609022556601</v>
      </c>
      <c r="J68" t="str">
        <f t="shared" si="1"/>
        <v>Profit</v>
      </c>
    </row>
    <row r="69" spans="1:10" x14ac:dyDescent="0.3">
      <c r="A69" t="s">
        <v>87</v>
      </c>
      <c r="B69" s="2">
        <v>45717</v>
      </c>
      <c r="C69" t="s">
        <v>218</v>
      </c>
      <c r="D69" t="s">
        <v>16</v>
      </c>
      <c r="E69" t="s">
        <v>21</v>
      </c>
      <c r="F69" t="s">
        <v>27</v>
      </c>
      <c r="G69">
        <v>4714.5112781954704</v>
      </c>
      <c r="H69" s="1">
        <v>1.0203007518797</v>
      </c>
      <c r="I69">
        <v>151.99248120300601</v>
      </c>
      <c r="J69" t="str">
        <f t="shared" si="1"/>
        <v>Profit</v>
      </c>
    </row>
    <row r="70" spans="1:10" x14ac:dyDescent="0.3">
      <c r="A70" t="s">
        <v>88</v>
      </c>
      <c r="B70" s="2">
        <v>45717</v>
      </c>
      <c r="C70" t="s">
        <v>219</v>
      </c>
      <c r="D70" t="s">
        <v>15</v>
      </c>
      <c r="E70" t="s">
        <v>220</v>
      </c>
      <c r="F70" t="s">
        <v>27</v>
      </c>
      <c r="G70">
        <v>4400.6766917293698</v>
      </c>
      <c r="H70" s="1">
        <v>1.0180451127819601</v>
      </c>
      <c r="I70">
        <v>109.548872180456</v>
      </c>
      <c r="J70" t="str">
        <f t="shared" si="1"/>
        <v>Profit</v>
      </c>
    </row>
    <row r="71" spans="1:10" x14ac:dyDescent="0.3">
      <c r="A71" t="s">
        <v>89</v>
      </c>
      <c r="B71" s="2">
        <v>45717</v>
      </c>
      <c r="C71" t="s">
        <v>221</v>
      </c>
      <c r="D71" t="s">
        <v>18</v>
      </c>
      <c r="E71" t="s">
        <v>22</v>
      </c>
      <c r="F71" t="s">
        <v>28</v>
      </c>
      <c r="G71">
        <v>4086.8421052631702</v>
      </c>
      <c r="H71" s="1">
        <v>1.0157894736842099</v>
      </c>
      <c r="I71">
        <v>67.105263157895905</v>
      </c>
      <c r="J71" t="str">
        <f t="shared" si="1"/>
        <v>Profit</v>
      </c>
    </row>
    <row r="72" spans="1:10" x14ac:dyDescent="0.3">
      <c r="A72" t="s">
        <v>90</v>
      </c>
      <c r="B72" s="2">
        <v>45748</v>
      </c>
      <c r="C72" t="s">
        <v>8</v>
      </c>
      <c r="D72" t="s">
        <v>16</v>
      </c>
      <c r="E72" t="s">
        <v>20</v>
      </c>
      <c r="F72" t="s">
        <v>27</v>
      </c>
      <c r="G72">
        <v>3773.0075187969701</v>
      </c>
      <c r="H72" s="1">
        <v>1.01353383458647</v>
      </c>
      <c r="I72">
        <v>24.661654135336001</v>
      </c>
      <c r="J72" t="str">
        <f t="shared" si="1"/>
        <v>Profit</v>
      </c>
    </row>
    <row r="73" spans="1:10" x14ac:dyDescent="0.3">
      <c r="A73" t="s">
        <v>91</v>
      </c>
      <c r="B73" s="2">
        <v>45748</v>
      </c>
      <c r="C73" t="s">
        <v>29</v>
      </c>
      <c r="D73" t="s">
        <v>17</v>
      </c>
      <c r="E73" t="s">
        <v>23</v>
      </c>
      <c r="F73" t="s">
        <v>28</v>
      </c>
      <c r="G73">
        <v>3459.17293233087</v>
      </c>
      <c r="H73" s="1">
        <v>1.01127819548872</v>
      </c>
      <c r="I73">
        <v>-17.7819548872144</v>
      </c>
      <c r="J73" t="str">
        <f t="shared" si="1"/>
        <v>Loss</v>
      </c>
    </row>
    <row r="74" spans="1:10" x14ac:dyDescent="0.3">
      <c r="A74" t="s">
        <v>92</v>
      </c>
      <c r="B74" s="2">
        <v>45748</v>
      </c>
      <c r="C74" t="s">
        <v>9</v>
      </c>
      <c r="D74" t="s">
        <v>15</v>
      </c>
      <c r="E74" t="s">
        <v>21</v>
      </c>
      <c r="F74" t="s">
        <v>27</v>
      </c>
      <c r="G74">
        <v>3145.3383458646699</v>
      </c>
      <c r="H74" s="1">
        <v>1.00902255639098</v>
      </c>
      <c r="I74">
        <v>-60.225563909774301</v>
      </c>
      <c r="J74" t="str">
        <f t="shared" si="1"/>
        <v>Loss</v>
      </c>
    </row>
    <row r="75" spans="1:10" x14ac:dyDescent="0.3">
      <c r="A75" t="s">
        <v>93</v>
      </c>
      <c r="B75" s="2">
        <v>45778</v>
      </c>
      <c r="C75" t="s">
        <v>10</v>
      </c>
      <c r="D75" t="s">
        <v>18</v>
      </c>
      <c r="E75" t="s">
        <v>25</v>
      </c>
      <c r="F75" t="s">
        <v>28</v>
      </c>
      <c r="G75">
        <v>2831.5037593984698</v>
      </c>
      <c r="H75" s="1">
        <v>1.0067669172932301</v>
      </c>
      <c r="I75">
        <v>-102.66917293233401</v>
      </c>
      <c r="J75" t="str">
        <f t="shared" si="1"/>
        <v>Loss</v>
      </c>
    </row>
    <row r="76" spans="1:10" x14ac:dyDescent="0.3">
      <c r="A76" t="s">
        <v>94</v>
      </c>
      <c r="B76" s="2">
        <v>45778</v>
      </c>
      <c r="C76" t="s">
        <v>11</v>
      </c>
      <c r="D76" t="s">
        <v>16</v>
      </c>
      <c r="E76" t="s">
        <v>24</v>
      </c>
      <c r="F76" t="s">
        <v>27</v>
      </c>
      <c r="G76">
        <v>2517.6691729323702</v>
      </c>
      <c r="H76" s="1">
        <v>1.0045112781954899</v>
      </c>
      <c r="I76">
        <v>-145.11278195488401</v>
      </c>
      <c r="J76" t="str">
        <f t="shared" si="1"/>
        <v>Loss</v>
      </c>
    </row>
    <row r="77" spans="1:10" x14ac:dyDescent="0.3">
      <c r="A77" t="s">
        <v>95</v>
      </c>
      <c r="B77" s="2">
        <v>45778</v>
      </c>
      <c r="C77" t="s">
        <v>12</v>
      </c>
      <c r="D77" t="s">
        <v>15</v>
      </c>
      <c r="E77" t="s">
        <v>220</v>
      </c>
      <c r="F77" t="s">
        <v>27</v>
      </c>
      <c r="G77">
        <v>2203.8345864661701</v>
      </c>
      <c r="H77" s="1">
        <v>1.00225563909774</v>
      </c>
      <c r="I77">
        <v>-187.55639097744401</v>
      </c>
      <c r="J77" t="str">
        <f t="shared" si="1"/>
        <v>Loss</v>
      </c>
    </row>
    <row r="78" spans="1:10" x14ac:dyDescent="0.3">
      <c r="A78" t="s">
        <v>96</v>
      </c>
      <c r="B78" s="2">
        <v>45809</v>
      </c>
      <c r="C78" t="s">
        <v>13</v>
      </c>
      <c r="D78" t="s">
        <v>17</v>
      </c>
      <c r="E78" t="s">
        <v>22</v>
      </c>
      <c r="F78" t="s">
        <v>28</v>
      </c>
      <c r="G78">
        <v>1889.99999999997</v>
      </c>
      <c r="H78" s="1">
        <v>1</v>
      </c>
      <c r="I78">
        <v>-229.999999999994</v>
      </c>
      <c r="J78" t="str">
        <f t="shared" si="1"/>
        <v>Loss</v>
      </c>
    </row>
    <row r="79" spans="1:10" x14ac:dyDescent="0.3">
      <c r="A79" t="s">
        <v>97</v>
      </c>
      <c r="B79" s="2">
        <v>45809</v>
      </c>
      <c r="C79" t="s">
        <v>218</v>
      </c>
      <c r="D79" t="s">
        <v>18</v>
      </c>
      <c r="E79" t="s">
        <v>21</v>
      </c>
      <c r="F79" t="s">
        <v>27</v>
      </c>
      <c r="G79">
        <v>1576.1654135338699</v>
      </c>
      <c r="H79" s="1">
        <v>0.99774436090225505</v>
      </c>
      <c r="I79">
        <v>-272.44360902255403</v>
      </c>
      <c r="J79" t="str">
        <f t="shared" si="1"/>
        <v>Loss</v>
      </c>
    </row>
    <row r="80" spans="1:10" x14ac:dyDescent="0.3">
      <c r="A80" t="s">
        <v>98</v>
      </c>
      <c r="B80" s="2">
        <v>45809</v>
      </c>
      <c r="C80" t="s">
        <v>219</v>
      </c>
      <c r="D80" t="s">
        <v>16</v>
      </c>
      <c r="E80" t="s">
        <v>20</v>
      </c>
      <c r="F80" t="s">
        <v>27</v>
      </c>
      <c r="G80">
        <v>1262.33082706767</v>
      </c>
      <c r="H80" s="1">
        <v>0.99548872180451098</v>
      </c>
      <c r="I80">
        <v>-314.88721804511403</v>
      </c>
      <c r="J80" t="str">
        <f t="shared" si="1"/>
        <v>Loss</v>
      </c>
    </row>
    <row r="81" spans="1:10" x14ac:dyDescent="0.3">
      <c r="A81" t="s">
        <v>99</v>
      </c>
      <c r="B81" s="2">
        <v>45809</v>
      </c>
      <c r="C81" t="s">
        <v>221</v>
      </c>
      <c r="D81" t="s">
        <v>15</v>
      </c>
      <c r="E81" t="s">
        <v>23</v>
      </c>
      <c r="F81" t="s">
        <v>28</v>
      </c>
      <c r="G81">
        <v>948.49624060147096</v>
      </c>
      <c r="H81" s="1">
        <v>0.99323308270676702</v>
      </c>
      <c r="I81">
        <v>-357.33082706766402</v>
      </c>
      <c r="J81" t="str">
        <f t="shared" si="1"/>
        <v>Loss</v>
      </c>
    </row>
    <row r="82" spans="1:10" x14ac:dyDescent="0.3">
      <c r="A82" t="s">
        <v>100</v>
      </c>
      <c r="B82" s="2">
        <v>45658</v>
      </c>
      <c r="C82" t="s">
        <v>8</v>
      </c>
      <c r="D82" t="s">
        <v>15</v>
      </c>
      <c r="E82" t="s">
        <v>20</v>
      </c>
      <c r="F82" t="s">
        <v>27</v>
      </c>
      <c r="G82">
        <v>634.66165413537203</v>
      </c>
      <c r="H82" s="1">
        <v>0.99097744360902196</v>
      </c>
      <c r="I82">
        <v>-399.77443609022401</v>
      </c>
      <c r="J82" t="str">
        <f t="shared" si="1"/>
        <v>Loss</v>
      </c>
    </row>
    <row r="83" spans="1:10" x14ac:dyDescent="0.3">
      <c r="A83" t="s">
        <v>101</v>
      </c>
      <c r="B83" s="2">
        <v>45658</v>
      </c>
      <c r="C83" t="s">
        <v>29</v>
      </c>
      <c r="D83" t="s">
        <v>18</v>
      </c>
      <c r="E83" t="s">
        <v>21</v>
      </c>
      <c r="F83" t="s">
        <v>27</v>
      </c>
      <c r="G83">
        <v>320.82706766917198</v>
      </c>
      <c r="H83" s="1">
        <v>0.988721804511278</v>
      </c>
      <c r="I83">
        <v>-442.21804511278401</v>
      </c>
      <c r="J83" t="str">
        <f t="shared" si="1"/>
        <v>Loss</v>
      </c>
    </row>
    <row r="84" spans="1:10" x14ac:dyDescent="0.3">
      <c r="A84" t="s">
        <v>102</v>
      </c>
      <c r="B84" s="2">
        <v>45658</v>
      </c>
      <c r="C84" t="s">
        <v>9</v>
      </c>
      <c r="D84" t="s">
        <v>16</v>
      </c>
      <c r="E84" t="s">
        <v>22</v>
      </c>
      <c r="F84" t="s">
        <v>28</v>
      </c>
      <c r="G84">
        <v>6.9924812029712502</v>
      </c>
      <c r="H84" s="1">
        <v>0.98646616541353305</v>
      </c>
      <c r="I84">
        <v>-484.661654135334</v>
      </c>
      <c r="J84" t="str">
        <f t="shared" si="1"/>
        <v>Loss</v>
      </c>
    </row>
    <row r="85" spans="1:10" x14ac:dyDescent="0.3">
      <c r="A85" t="s">
        <v>213</v>
      </c>
      <c r="B85" s="2">
        <v>45689</v>
      </c>
      <c r="C85" t="s">
        <v>10</v>
      </c>
      <c r="D85" t="s">
        <v>17</v>
      </c>
      <c r="E85" t="s">
        <v>23</v>
      </c>
      <c r="F85" t="s">
        <v>28</v>
      </c>
      <c r="G85">
        <v>306.842105263127</v>
      </c>
      <c r="H85" s="1">
        <v>0.98421052631578898</v>
      </c>
      <c r="I85">
        <v>-527.105263157894</v>
      </c>
      <c r="J85" t="str">
        <f t="shared" si="1"/>
        <v>Loss</v>
      </c>
    </row>
    <row r="86" spans="1:10" x14ac:dyDescent="0.3">
      <c r="A86" t="s">
        <v>103</v>
      </c>
      <c r="B86" s="2">
        <v>45689</v>
      </c>
      <c r="C86" t="s">
        <v>11</v>
      </c>
      <c r="D86" t="s">
        <v>15</v>
      </c>
      <c r="E86" t="s">
        <v>20</v>
      </c>
      <c r="F86" t="s">
        <v>27</v>
      </c>
      <c r="G86">
        <v>620.67669172932801</v>
      </c>
      <c r="H86" s="1">
        <v>0.98195488721804502</v>
      </c>
      <c r="I86">
        <v>-569.54887218045405</v>
      </c>
      <c r="J86" t="str">
        <f t="shared" si="1"/>
        <v>Loss</v>
      </c>
    </row>
    <row r="87" spans="1:10" x14ac:dyDescent="0.3">
      <c r="A87" t="s">
        <v>104</v>
      </c>
      <c r="B87" s="2">
        <v>45689</v>
      </c>
      <c r="C87" t="s">
        <v>12</v>
      </c>
      <c r="D87" t="s">
        <v>18</v>
      </c>
      <c r="E87" t="s">
        <v>24</v>
      </c>
      <c r="F87" t="s">
        <v>27</v>
      </c>
      <c r="G87">
        <v>934.51127819552903</v>
      </c>
      <c r="H87" s="1">
        <v>0.97969924812029996</v>
      </c>
      <c r="I87">
        <v>-611.99248120300399</v>
      </c>
      <c r="J87" t="str">
        <f t="shared" si="1"/>
        <v>Loss</v>
      </c>
    </row>
    <row r="88" spans="1:10" x14ac:dyDescent="0.3">
      <c r="A88" t="s">
        <v>105</v>
      </c>
      <c r="B88" s="2">
        <v>45717</v>
      </c>
      <c r="C88" t="s">
        <v>13</v>
      </c>
      <c r="D88" t="s">
        <v>17</v>
      </c>
      <c r="E88" t="s">
        <v>25</v>
      </c>
      <c r="F88" t="s">
        <v>28</v>
      </c>
      <c r="G88">
        <v>1248.34586466163</v>
      </c>
      <c r="H88" s="1">
        <v>0.977443609022556</v>
      </c>
      <c r="I88">
        <v>-654.43609022556404</v>
      </c>
      <c r="J88" t="str">
        <f t="shared" si="1"/>
        <v>Loss</v>
      </c>
    </row>
    <row r="89" spans="1:10" x14ac:dyDescent="0.3">
      <c r="A89" t="s">
        <v>106</v>
      </c>
      <c r="B89" s="2">
        <v>45717</v>
      </c>
      <c r="C89" t="s">
        <v>218</v>
      </c>
      <c r="D89" t="s">
        <v>16</v>
      </c>
      <c r="E89" t="s">
        <v>21</v>
      </c>
      <c r="F89" t="s">
        <v>27</v>
      </c>
      <c r="G89">
        <v>1562.1804511278301</v>
      </c>
      <c r="H89" s="1">
        <v>0.97518796992481205</v>
      </c>
      <c r="I89">
        <v>-696.87969924812398</v>
      </c>
      <c r="J89" t="str">
        <f t="shared" si="1"/>
        <v>Loss</v>
      </c>
    </row>
    <row r="90" spans="1:10" x14ac:dyDescent="0.3">
      <c r="A90" t="s">
        <v>107</v>
      </c>
      <c r="B90" s="2">
        <v>45717</v>
      </c>
      <c r="C90" t="s">
        <v>219</v>
      </c>
      <c r="D90" t="s">
        <v>15</v>
      </c>
      <c r="E90" t="s">
        <v>220</v>
      </c>
      <c r="F90" t="s">
        <v>27</v>
      </c>
      <c r="G90">
        <v>1876.01503759403</v>
      </c>
      <c r="H90" s="1">
        <v>0.97293233082706698</v>
      </c>
      <c r="I90">
        <v>-739.32330827067403</v>
      </c>
      <c r="J90" t="str">
        <f t="shared" si="1"/>
        <v>Loss</v>
      </c>
    </row>
    <row r="91" spans="1:10" x14ac:dyDescent="0.3">
      <c r="A91" t="s">
        <v>108</v>
      </c>
      <c r="B91" s="2">
        <v>45717</v>
      </c>
      <c r="C91" t="s">
        <v>221</v>
      </c>
      <c r="D91" t="s">
        <v>18</v>
      </c>
      <c r="E91" t="s">
        <v>22</v>
      </c>
      <c r="F91" t="s">
        <v>28</v>
      </c>
      <c r="G91">
        <v>2189.8496240601298</v>
      </c>
      <c r="H91" s="1">
        <v>0.97067669172932303</v>
      </c>
      <c r="I91">
        <v>-781.76691729323397</v>
      </c>
      <c r="J91" t="str">
        <f t="shared" si="1"/>
        <v>Loss</v>
      </c>
    </row>
    <row r="92" spans="1:10" x14ac:dyDescent="0.3">
      <c r="A92" t="s">
        <v>109</v>
      </c>
      <c r="B92" s="2">
        <v>45748</v>
      </c>
      <c r="C92" t="s">
        <v>8</v>
      </c>
      <c r="D92" t="s">
        <v>16</v>
      </c>
      <c r="E92" t="s">
        <v>20</v>
      </c>
      <c r="F92" t="s">
        <v>27</v>
      </c>
      <c r="G92">
        <v>2503.6842105263299</v>
      </c>
      <c r="H92" s="1">
        <v>0.96842105263157896</v>
      </c>
      <c r="I92">
        <v>-824.21052631578402</v>
      </c>
      <c r="J92" t="str">
        <f t="shared" si="1"/>
        <v>Loss</v>
      </c>
    </row>
    <row r="93" spans="1:10" x14ac:dyDescent="0.3">
      <c r="A93" t="s">
        <v>110</v>
      </c>
      <c r="B93" s="2">
        <v>45748</v>
      </c>
      <c r="C93" t="s">
        <v>29</v>
      </c>
      <c r="D93" t="s">
        <v>17</v>
      </c>
      <c r="E93" t="s">
        <v>23</v>
      </c>
      <c r="F93" t="s">
        <v>28</v>
      </c>
      <c r="G93">
        <v>2817.51879699253</v>
      </c>
      <c r="H93" s="1">
        <v>0.96616541353383401</v>
      </c>
      <c r="I93">
        <v>-866.65413533834396</v>
      </c>
      <c r="J93" t="str">
        <f t="shared" si="1"/>
        <v>Loss</v>
      </c>
    </row>
    <row r="94" spans="1:10" x14ac:dyDescent="0.3">
      <c r="A94" t="s">
        <v>111</v>
      </c>
      <c r="B94" s="2">
        <v>45748</v>
      </c>
      <c r="C94" t="s">
        <v>9</v>
      </c>
      <c r="D94" t="s">
        <v>15</v>
      </c>
      <c r="E94" t="s">
        <v>21</v>
      </c>
      <c r="F94" t="s">
        <v>27</v>
      </c>
      <c r="G94">
        <v>3131.3533834586301</v>
      </c>
      <c r="H94" s="1">
        <v>0.96390977443609005</v>
      </c>
      <c r="I94">
        <v>-909.09774436090402</v>
      </c>
      <c r="J94" t="str">
        <f t="shared" si="1"/>
        <v>Loss</v>
      </c>
    </row>
    <row r="95" spans="1:10" x14ac:dyDescent="0.3">
      <c r="A95" t="s">
        <v>112</v>
      </c>
      <c r="B95" s="2">
        <v>45778</v>
      </c>
      <c r="C95" t="s">
        <v>10</v>
      </c>
      <c r="D95" t="s">
        <v>18</v>
      </c>
      <c r="E95" t="s">
        <v>25</v>
      </c>
      <c r="F95" t="s">
        <v>28</v>
      </c>
      <c r="G95">
        <v>3445.1879699248302</v>
      </c>
      <c r="H95" s="1">
        <v>0.96165413533834498</v>
      </c>
      <c r="I95">
        <v>-951.54135338345395</v>
      </c>
      <c r="J95" t="str">
        <f t="shared" si="1"/>
        <v>Loss</v>
      </c>
    </row>
    <row r="96" spans="1:10" x14ac:dyDescent="0.3">
      <c r="A96" t="s">
        <v>113</v>
      </c>
      <c r="B96" s="2">
        <v>45778</v>
      </c>
      <c r="C96" t="s">
        <v>11</v>
      </c>
      <c r="D96" t="s">
        <v>16</v>
      </c>
      <c r="E96" t="s">
        <v>24</v>
      </c>
      <c r="F96" t="s">
        <v>27</v>
      </c>
      <c r="G96">
        <v>3759.0225563909298</v>
      </c>
      <c r="H96" s="1">
        <v>0.95939849624060103</v>
      </c>
      <c r="I96">
        <v>-993.98496240601401</v>
      </c>
      <c r="J96" t="str">
        <f t="shared" si="1"/>
        <v>Loss</v>
      </c>
    </row>
    <row r="97" spans="1:10" x14ac:dyDescent="0.3">
      <c r="A97" t="s">
        <v>114</v>
      </c>
      <c r="B97" s="2">
        <v>45778</v>
      </c>
      <c r="C97" t="s">
        <v>12</v>
      </c>
      <c r="D97" t="s">
        <v>15</v>
      </c>
      <c r="E97" t="s">
        <v>220</v>
      </c>
      <c r="F97" t="s">
        <v>27</v>
      </c>
      <c r="G97">
        <v>4072.8571428571299</v>
      </c>
      <c r="H97" s="1">
        <v>0.95714285714285696</v>
      </c>
      <c r="I97">
        <v>-1036.42857142857</v>
      </c>
      <c r="J97" t="str">
        <f t="shared" si="1"/>
        <v>Loss</v>
      </c>
    </row>
    <row r="98" spans="1:10" x14ac:dyDescent="0.3">
      <c r="A98" t="s">
        <v>115</v>
      </c>
      <c r="B98" s="2">
        <v>45809</v>
      </c>
      <c r="C98" t="s">
        <v>13</v>
      </c>
      <c r="D98" t="s">
        <v>17</v>
      </c>
      <c r="E98" t="s">
        <v>22</v>
      </c>
      <c r="F98" t="s">
        <v>28</v>
      </c>
      <c r="G98">
        <v>4386.69172932333</v>
      </c>
      <c r="H98" s="1">
        <v>0.95488721804511201</v>
      </c>
      <c r="I98">
        <v>-1078.8721804511199</v>
      </c>
      <c r="J98" t="str">
        <f t="shared" si="1"/>
        <v>Loss</v>
      </c>
    </row>
    <row r="99" spans="1:10" x14ac:dyDescent="0.3">
      <c r="A99" t="s">
        <v>116</v>
      </c>
      <c r="B99" s="2">
        <v>45809</v>
      </c>
      <c r="C99" t="s">
        <v>218</v>
      </c>
      <c r="D99" t="s">
        <v>18</v>
      </c>
      <c r="E99" t="s">
        <v>21</v>
      </c>
      <c r="F99" t="s">
        <v>27</v>
      </c>
      <c r="G99">
        <v>4700.5263157894296</v>
      </c>
      <c r="H99" s="1">
        <v>0.95263157894736805</v>
      </c>
      <c r="I99">
        <v>-1121.3157894736801</v>
      </c>
      <c r="J99" t="str">
        <f t="shared" si="1"/>
        <v>Loss</v>
      </c>
    </row>
    <row r="100" spans="1:10" x14ac:dyDescent="0.3">
      <c r="A100" t="s">
        <v>117</v>
      </c>
      <c r="B100" s="2">
        <v>45809</v>
      </c>
      <c r="C100" t="s">
        <v>219</v>
      </c>
      <c r="D100" t="s">
        <v>16</v>
      </c>
      <c r="E100" t="s">
        <v>20</v>
      </c>
      <c r="F100" t="s">
        <v>27</v>
      </c>
      <c r="G100">
        <v>5014.3609022556302</v>
      </c>
      <c r="H100" s="1">
        <v>0.95037593984962399</v>
      </c>
      <c r="I100">
        <v>-1163.75939849623</v>
      </c>
      <c r="J100" t="str">
        <f t="shared" si="1"/>
        <v>Loss</v>
      </c>
    </row>
    <row r="101" spans="1:10" x14ac:dyDescent="0.3">
      <c r="A101" t="s">
        <v>118</v>
      </c>
      <c r="B101" s="2">
        <v>45809</v>
      </c>
      <c r="C101" t="s">
        <v>221</v>
      </c>
      <c r="D101" t="s">
        <v>15</v>
      </c>
      <c r="E101" t="s">
        <v>23</v>
      </c>
      <c r="F101" t="s">
        <v>28</v>
      </c>
      <c r="G101">
        <v>5328.1954887218299</v>
      </c>
      <c r="H101" s="1">
        <v>0.94812030075187903</v>
      </c>
      <c r="I101">
        <v>-1206.2030075187899</v>
      </c>
      <c r="J101" t="str">
        <f t="shared" si="1"/>
        <v>Loss</v>
      </c>
    </row>
    <row r="102" spans="1:10" x14ac:dyDescent="0.3">
      <c r="A102" t="s">
        <v>119</v>
      </c>
      <c r="B102" s="2">
        <v>45658</v>
      </c>
      <c r="C102" t="s">
        <v>8</v>
      </c>
      <c r="D102" t="s">
        <v>15</v>
      </c>
      <c r="E102" t="s">
        <v>20</v>
      </c>
      <c r="F102" t="s">
        <v>27</v>
      </c>
      <c r="G102">
        <v>5642.0300751879304</v>
      </c>
      <c r="H102" s="1">
        <v>0.94586466165413496</v>
      </c>
      <c r="I102">
        <v>-1248.6466165413501</v>
      </c>
      <c r="J102" t="str">
        <f t="shared" si="1"/>
        <v>Loss</v>
      </c>
    </row>
    <row r="103" spans="1:10" x14ac:dyDescent="0.3">
      <c r="A103" t="s">
        <v>120</v>
      </c>
      <c r="B103" s="2">
        <v>45658</v>
      </c>
      <c r="C103" t="s">
        <v>29</v>
      </c>
      <c r="D103" t="s">
        <v>18</v>
      </c>
      <c r="E103" t="s">
        <v>21</v>
      </c>
      <c r="F103" t="s">
        <v>27</v>
      </c>
      <c r="G103">
        <v>5955.86466165413</v>
      </c>
      <c r="H103" s="1">
        <v>0.94360902255639101</v>
      </c>
      <c r="I103">
        <v>-1291.0902255639</v>
      </c>
      <c r="J103" t="str">
        <f t="shared" si="1"/>
        <v>Loss</v>
      </c>
    </row>
    <row r="104" spans="1:10" x14ac:dyDescent="0.3">
      <c r="A104" t="s">
        <v>121</v>
      </c>
      <c r="B104" s="2">
        <v>45658</v>
      </c>
      <c r="C104" t="s">
        <v>9</v>
      </c>
      <c r="D104" t="s">
        <v>16</v>
      </c>
      <c r="E104" t="s">
        <v>22</v>
      </c>
      <c r="F104" t="s">
        <v>28</v>
      </c>
      <c r="G104">
        <v>6269.6992481203297</v>
      </c>
      <c r="H104" s="1">
        <v>0.94135338345864605</v>
      </c>
      <c r="I104">
        <v>-1333.53383458646</v>
      </c>
      <c r="J104" t="str">
        <f t="shared" si="1"/>
        <v>Loss</v>
      </c>
    </row>
    <row r="105" spans="1:10" x14ac:dyDescent="0.3">
      <c r="A105" t="s">
        <v>122</v>
      </c>
      <c r="B105" s="2">
        <v>45689</v>
      </c>
      <c r="C105" t="s">
        <v>10</v>
      </c>
      <c r="D105" t="s">
        <v>17</v>
      </c>
      <c r="E105" t="s">
        <v>23</v>
      </c>
      <c r="F105" t="s">
        <v>28</v>
      </c>
      <c r="G105">
        <v>6583.5338345864302</v>
      </c>
      <c r="H105" s="1">
        <v>0.93909774436090199</v>
      </c>
      <c r="I105">
        <v>-1375.9774436090199</v>
      </c>
      <c r="J105" t="str">
        <f t="shared" si="1"/>
        <v>Loss</v>
      </c>
    </row>
    <row r="106" spans="1:10" x14ac:dyDescent="0.3">
      <c r="A106" t="s">
        <v>213</v>
      </c>
      <c r="B106" s="2">
        <v>45689</v>
      </c>
      <c r="C106" t="s">
        <v>11</v>
      </c>
      <c r="D106" t="s">
        <v>15</v>
      </c>
      <c r="E106" t="s">
        <v>20</v>
      </c>
      <c r="F106" t="s">
        <v>27</v>
      </c>
      <c r="G106">
        <v>6897.3684210526299</v>
      </c>
      <c r="H106" s="1">
        <v>0.93684210526315803</v>
      </c>
      <c r="I106">
        <v>-1418.4210526315701</v>
      </c>
      <c r="J106" t="str">
        <f t="shared" si="1"/>
        <v>Loss</v>
      </c>
    </row>
    <row r="107" spans="1:10" x14ac:dyDescent="0.3">
      <c r="A107" t="s">
        <v>123</v>
      </c>
      <c r="B107" s="2">
        <v>45689</v>
      </c>
      <c r="C107" t="s">
        <v>12</v>
      </c>
      <c r="D107" t="s">
        <v>18</v>
      </c>
      <c r="E107" t="s">
        <v>24</v>
      </c>
      <c r="F107" t="s">
        <v>27</v>
      </c>
      <c r="G107">
        <v>7211.2030075188304</v>
      </c>
      <c r="H107" s="1">
        <v>0.93458646616541297</v>
      </c>
      <c r="I107">
        <v>-1460.86466165413</v>
      </c>
      <c r="J107" t="str">
        <f t="shared" si="1"/>
        <v>Loss</v>
      </c>
    </row>
    <row r="108" spans="1:10" x14ac:dyDescent="0.3">
      <c r="A108" t="s">
        <v>124</v>
      </c>
      <c r="B108" s="2">
        <v>45717</v>
      </c>
      <c r="C108" t="s">
        <v>13</v>
      </c>
      <c r="D108" t="s">
        <v>17</v>
      </c>
      <c r="E108" t="s">
        <v>25</v>
      </c>
      <c r="F108" t="s">
        <v>28</v>
      </c>
      <c r="G108">
        <v>7525.03759398493</v>
      </c>
      <c r="H108" s="1">
        <v>0.93233082706766901</v>
      </c>
      <c r="I108">
        <v>-1503.30827067669</v>
      </c>
      <c r="J108" t="str">
        <f t="shared" si="1"/>
        <v>Loss</v>
      </c>
    </row>
    <row r="109" spans="1:10" x14ac:dyDescent="0.3">
      <c r="A109" t="s">
        <v>125</v>
      </c>
      <c r="B109" s="2">
        <v>45717</v>
      </c>
      <c r="C109" t="s">
        <v>218</v>
      </c>
      <c r="D109" t="s">
        <v>16</v>
      </c>
      <c r="E109" t="s">
        <v>21</v>
      </c>
      <c r="F109" t="s">
        <v>27</v>
      </c>
      <c r="G109">
        <v>7838.8721804511297</v>
      </c>
      <c r="H109" s="1">
        <v>0.93007518796992406</v>
      </c>
      <c r="I109">
        <v>-1545.7518796992399</v>
      </c>
      <c r="J109" t="str">
        <f t="shared" si="1"/>
        <v>Loss</v>
      </c>
    </row>
    <row r="110" spans="1:10" x14ac:dyDescent="0.3">
      <c r="A110" t="s">
        <v>126</v>
      </c>
      <c r="B110" s="2">
        <v>45717</v>
      </c>
      <c r="C110" t="s">
        <v>219</v>
      </c>
      <c r="D110" t="s">
        <v>15</v>
      </c>
      <c r="E110" t="s">
        <v>220</v>
      </c>
      <c r="F110" t="s">
        <v>27</v>
      </c>
      <c r="G110">
        <v>8152.7067669173302</v>
      </c>
      <c r="H110" s="1">
        <v>0.92781954887217999</v>
      </c>
      <c r="I110">
        <v>-1588.1954887218001</v>
      </c>
      <c r="J110" t="str">
        <f t="shared" si="1"/>
        <v>Loss</v>
      </c>
    </row>
    <row r="111" spans="1:10" x14ac:dyDescent="0.3">
      <c r="A111" t="s">
        <v>127</v>
      </c>
      <c r="B111" s="2">
        <v>45717</v>
      </c>
      <c r="C111" t="s">
        <v>221</v>
      </c>
      <c r="D111" t="s">
        <v>18</v>
      </c>
      <c r="E111" t="s">
        <v>22</v>
      </c>
      <c r="F111" t="s">
        <v>28</v>
      </c>
      <c r="G111">
        <v>8466.5413533834308</v>
      </c>
      <c r="H111" s="1">
        <v>0.92556390977443603</v>
      </c>
      <c r="I111">
        <v>-1630.63909774436</v>
      </c>
      <c r="J111" t="str">
        <f t="shared" si="1"/>
        <v>Loss</v>
      </c>
    </row>
    <row r="112" spans="1:10" x14ac:dyDescent="0.3">
      <c r="A112" t="s">
        <v>128</v>
      </c>
      <c r="B112" s="2">
        <v>45748</v>
      </c>
      <c r="C112" t="s">
        <v>8</v>
      </c>
      <c r="D112" t="s">
        <v>16</v>
      </c>
      <c r="E112" t="s">
        <v>20</v>
      </c>
      <c r="F112" t="s">
        <v>27</v>
      </c>
      <c r="G112">
        <v>8780.3759398496295</v>
      </c>
      <c r="H112" s="1">
        <v>0.92330827067669097</v>
      </c>
      <c r="I112">
        <v>-1673.08270676691</v>
      </c>
      <c r="J112" t="str">
        <f t="shared" si="1"/>
        <v>Loss</v>
      </c>
    </row>
    <row r="113" spans="1:10" x14ac:dyDescent="0.3">
      <c r="A113" t="s">
        <v>129</v>
      </c>
      <c r="B113" s="2">
        <v>45748</v>
      </c>
      <c r="C113" t="s">
        <v>29</v>
      </c>
      <c r="D113" t="s">
        <v>17</v>
      </c>
      <c r="E113" t="s">
        <v>23</v>
      </c>
      <c r="F113" t="s">
        <v>28</v>
      </c>
      <c r="G113">
        <v>9094.2105263158301</v>
      </c>
      <c r="H113" s="1">
        <v>0.92105263157894701</v>
      </c>
      <c r="I113">
        <v>-1715.5263157894699</v>
      </c>
      <c r="J113" t="str">
        <f t="shared" si="1"/>
        <v>Loss</v>
      </c>
    </row>
    <row r="114" spans="1:10" x14ac:dyDescent="0.3">
      <c r="A114" t="s">
        <v>130</v>
      </c>
      <c r="B114" s="2">
        <v>45748</v>
      </c>
      <c r="C114" t="s">
        <v>9</v>
      </c>
      <c r="D114" t="s">
        <v>15</v>
      </c>
      <c r="E114" t="s">
        <v>21</v>
      </c>
      <c r="F114" t="s">
        <v>27</v>
      </c>
      <c r="G114">
        <v>9408.0451127819306</v>
      </c>
      <c r="H114" s="1">
        <v>0.91879699248120295</v>
      </c>
      <c r="I114">
        <v>-1757.9699248120201</v>
      </c>
      <c r="J114" t="str">
        <f t="shared" si="1"/>
        <v>Loss</v>
      </c>
    </row>
    <row r="115" spans="1:10" x14ac:dyDescent="0.3">
      <c r="A115" t="s">
        <v>131</v>
      </c>
      <c r="B115" s="2">
        <v>45778</v>
      </c>
      <c r="C115" t="s">
        <v>10</v>
      </c>
      <c r="D115" t="s">
        <v>18</v>
      </c>
      <c r="E115" t="s">
        <v>25</v>
      </c>
      <c r="F115" t="s">
        <v>28</v>
      </c>
      <c r="G115">
        <v>9721.8796992481293</v>
      </c>
      <c r="H115" s="1">
        <v>0.91654135338345799</v>
      </c>
      <c r="I115">
        <v>-1800.41353383458</v>
      </c>
      <c r="J115" t="str">
        <f t="shared" si="1"/>
        <v>Loss</v>
      </c>
    </row>
    <row r="116" spans="1:10" x14ac:dyDescent="0.3">
      <c r="A116" t="s">
        <v>132</v>
      </c>
      <c r="B116" s="2">
        <v>45778</v>
      </c>
      <c r="C116" t="s">
        <v>11</v>
      </c>
      <c r="D116" t="s">
        <v>16</v>
      </c>
      <c r="E116" t="s">
        <v>24</v>
      </c>
      <c r="F116" t="s">
        <v>27</v>
      </c>
      <c r="G116">
        <v>10035.714285714301</v>
      </c>
      <c r="H116" s="1">
        <v>0.91428571428571404</v>
      </c>
      <c r="I116">
        <v>-1842.8571428571399</v>
      </c>
      <c r="J116" t="str">
        <f t="shared" si="1"/>
        <v>Loss</v>
      </c>
    </row>
    <row r="117" spans="1:10" x14ac:dyDescent="0.3">
      <c r="A117" t="s">
        <v>133</v>
      </c>
      <c r="B117" s="2">
        <v>45778</v>
      </c>
      <c r="C117" t="s">
        <v>12</v>
      </c>
      <c r="D117" t="s">
        <v>15</v>
      </c>
      <c r="E117" t="s">
        <v>220</v>
      </c>
      <c r="F117" t="s">
        <v>27</v>
      </c>
      <c r="G117">
        <v>10349.548872180399</v>
      </c>
      <c r="H117" s="1">
        <v>0.91203007518796997</v>
      </c>
      <c r="I117">
        <v>-1885.3007518796901</v>
      </c>
      <c r="J117" t="str">
        <f t="shared" si="1"/>
        <v>Loss</v>
      </c>
    </row>
    <row r="118" spans="1:10" x14ac:dyDescent="0.3">
      <c r="A118" t="s">
        <v>134</v>
      </c>
      <c r="B118" s="2">
        <v>45809</v>
      </c>
      <c r="C118" t="s">
        <v>13</v>
      </c>
      <c r="D118" t="s">
        <v>17</v>
      </c>
      <c r="E118" t="s">
        <v>22</v>
      </c>
      <c r="F118" t="s">
        <v>28</v>
      </c>
      <c r="G118">
        <v>10663.3834586466</v>
      </c>
      <c r="H118" s="1">
        <v>0.90977443609022501</v>
      </c>
      <c r="I118">
        <v>-1927.74436090225</v>
      </c>
      <c r="J118" t="str">
        <f t="shared" si="1"/>
        <v>Loss</v>
      </c>
    </row>
    <row r="119" spans="1:10" x14ac:dyDescent="0.3">
      <c r="A119" t="s">
        <v>135</v>
      </c>
      <c r="B119" s="2">
        <v>45809</v>
      </c>
      <c r="C119" t="s">
        <v>218</v>
      </c>
      <c r="D119" t="s">
        <v>18</v>
      </c>
      <c r="E119" t="s">
        <v>21</v>
      </c>
      <c r="F119" t="s">
        <v>27</v>
      </c>
      <c r="G119">
        <v>10977.218045112801</v>
      </c>
      <c r="H119" s="1">
        <v>0.90751879699248095</v>
      </c>
      <c r="I119">
        <v>-1970.18796992481</v>
      </c>
      <c r="J119" t="str">
        <f t="shared" si="1"/>
        <v>Loss</v>
      </c>
    </row>
    <row r="120" spans="1:10" x14ac:dyDescent="0.3">
      <c r="A120" t="s">
        <v>136</v>
      </c>
      <c r="B120" s="2">
        <v>45809</v>
      </c>
      <c r="C120" t="s">
        <v>219</v>
      </c>
      <c r="D120" t="s">
        <v>16</v>
      </c>
      <c r="E120" t="s">
        <v>20</v>
      </c>
      <c r="F120" t="s">
        <v>27</v>
      </c>
      <c r="G120">
        <v>11291.052631578899</v>
      </c>
      <c r="H120" s="1">
        <v>0.90526315789473699</v>
      </c>
      <c r="I120">
        <v>-2012.6315789473599</v>
      </c>
      <c r="J120" t="str">
        <f t="shared" si="1"/>
        <v>Loss</v>
      </c>
    </row>
    <row r="121" spans="1:10" x14ac:dyDescent="0.3">
      <c r="A121" t="s">
        <v>137</v>
      </c>
      <c r="B121" s="2">
        <v>45809</v>
      </c>
      <c r="C121" t="s">
        <v>221</v>
      </c>
      <c r="D121" t="s">
        <v>15</v>
      </c>
      <c r="E121" t="s">
        <v>23</v>
      </c>
      <c r="F121" t="s">
        <v>28</v>
      </c>
      <c r="G121">
        <v>11604.8872180451</v>
      </c>
      <c r="H121" s="1">
        <v>0.90300751879699204</v>
      </c>
      <c r="I121">
        <v>-2055.0751879699201</v>
      </c>
      <c r="J121" t="str">
        <f t="shared" si="1"/>
        <v>Loss</v>
      </c>
    </row>
    <row r="122" spans="1:10" x14ac:dyDescent="0.3">
      <c r="A122" t="s">
        <v>138</v>
      </c>
      <c r="B122" s="2">
        <v>45658</v>
      </c>
      <c r="C122" t="s">
        <v>8</v>
      </c>
      <c r="D122" t="s">
        <v>15</v>
      </c>
      <c r="E122" t="s">
        <v>20</v>
      </c>
      <c r="F122" t="s">
        <v>27</v>
      </c>
      <c r="G122">
        <v>11918.7218045113</v>
      </c>
      <c r="H122" s="1">
        <v>0.90075187969924797</v>
      </c>
      <c r="I122">
        <v>-2097.51879699248</v>
      </c>
      <c r="J122" t="str">
        <f t="shared" si="1"/>
        <v>Loss</v>
      </c>
    </row>
    <row r="123" spans="1:10" x14ac:dyDescent="0.3">
      <c r="A123" t="s">
        <v>139</v>
      </c>
      <c r="B123" s="2">
        <v>45658</v>
      </c>
      <c r="C123" t="s">
        <v>29</v>
      </c>
      <c r="D123" t="s">
        <v>18</v>
      </c>
      <c r="E123" t="s">
        <v>21</v>
      </c>
      <c r="F123" t="s">
        <v>27</v>
      </c>
      <c r="G123">
        <v>12232.556390977399</v>
      </c>
      <c r="H123" s="1">
        <v>0.89849624060150302</v>
      </c>
      <c r="I123">
        <v>-2139.96240601503</v>
      </c>
      <c r="J123" t="str">
        <f t="shared" si="1"/>
        <v>Loss</v>
      </c>
    </row>
    <row r="124" spans="1:10" x14ac:dyDescent="0.3">
      <c r="A124" t="s">
        <v>140</v>
      </c>
      <c r="B124" s="2">
        <v>45658</v>
      </c>
      <c r="C124" t="s">
        <v>9</v>
      </c>
      <c r="D124" t="s">
        <v>16</v>
      </c>
      <c r="E124" t="s">
        <v>22</v>
      </c>
      <c r="F124" t="s">
        <v>28</v>
      </c>
      <c r="G124">
        <v>12546.3909774436</v>
      </c>
      <c r="H124" s="1">
        <v>0.89624060150375895</v>
      </c>
      <c r="I124">
        <v>-2182.4060150375899</v>
      </c>
      <c r="J124" t="str">
        <f t="shared" si="1"/>
        <v>Loss</v>
      </c>
    </row>
    <row r="125" spans="1:10" x14ac:dyDescent="0.3">
      <c r="A125" t="s">
        <v>141</v>
      </c>
      <c r="B125" s="2">
        <v>45689</v>
      </c>
      <c r="C125" t="s">
        <v>10</v>
      </c>
      <c r="D125" t="s">
        <v>17</v>
      </c>
      <c r="E125" t="s">
        <v>23</v>
      </c>
      <c r="F125" t="s">
        <v>28</v>
      </c>
      <c r="G125">
        <v>12860.2255639098</v>
      </c>
      <c r="H125" s="1">
        <v>0.89398496240601499</v>
      </c>
      <c r="I125">
        <v>-2224.8496240601498</v>
      </c>
      <c r="J125" t="str">
        <f t="shared" si="1"/>
        <v>Loss</v>
      </c>
    </row>
    <row r="126" spans="1:10" x14ac:dyDescent="0.3">
      <c r="A126" t="s">
        <v>142</v>
      </c>
      <c r="B126" s="2">
        <v>45689</v>
      </c>
      <c r="C126" t="s">
        <v>11</v>
      </c>
      <c r="D126" t="s">
        <v>15</v>
      </c>
      <c r="E126" t="s">
        <v>20</v>
      </c>
      <c r="F126" t="s">
        <v>27</v>
      </c>
      <c r="G126">
        <v>13174.060150375901</v>
      </c>
      <c r="H126" s="1">
        <v>0.89172932330827004</v>
      </c>
      <c r="I126">
        <v>-2267.2932330827002</v>
      </c>
      <c r="J126" t="str">
        <f t="shared" si="1"/>
        <v>Loss</v>
      </c>
    </row>
    <row r="127" spans="1:10" x14ac:dyDescent="0.3">
      <c r="A127" t="s">
        <v>213</v>
      </c>
      <c r="B127" s="2">
        <v>45689</v>
      </c>
      <c r="C127" t="s">
        <v>12</v>
      </c>
      <c r="D127" t="s">
        <v>18</v>
      </c>
      <c r="E127" t="s">
        <v>24</v>
      </c>
      <c r="F127" t="s">
        <v>27</v>
      </c>
      <c r="G127">
        <v>13487.8947368421</v>
      </c>
      <c r="H127" s="1">
        <v>0.88947368421052597</v>
      </c>
      <c r="I127">
        <v>-2309.7368421052602</v>
      </c>
      <c r="J127" t="str">
        <f t="shared" si="1"/>
        <v>Loss</v>
      </c>
    </row>
    <row r="128" spans="1:10" x14ac:dyDescent="0.3">
      <c r="A128" t="s">
        <v>143</v>
      </c>
      <c r="B128" s="2">
        <v>45717</v>
      </c>
      <c r="C128" t="s">
        <v>13</v>
      </c>
      <c r="D128" t="s">
        <v>17</v>
      </c>
      <c r="E128" t="s">
        <v>25</v>
      </c>
      <c r="F128" t="s">
        <v>28</v>
      </c>
      <c r="G128">
        <v>13801.7293233082</v>
      </c>
      <c r="H128" s="1">
        <v>0.88721804511278202</v>
      </c>
      <c r="I128">
        <v>-2352.1804511278101</v>
      </c>
      <c r="J128" t="str">
        <f t="shared" si="1"/>
        <v>Loss</v>
      </c>
    </row>
    <row r="129" spans="1:10" x14ac:dyDescent="0.3">
      <c r="A129" t="s">
        <v>144</v>
      </c>
      <c r="B129" s="2">
        <v>45717</v>
      </c>
      <c r="C129" t="s">
        <v>218</v>
      </c>
      <c r="D129" t="s">
        <v>16</v>
      </c>
      <c r="E129" t="s">
        <v>21</v>
      </c>
      <c r="F129" t="s">
        <v>27</v>
      </c>
      <c r="G129">
        <v>14115.563909774401</v>
      </c>
      <c r="H129" s="1">
        <v>0.88496240601503695</v>
      </c>
      <c r="I129">
        <v>-2394.62406015037</v>
      </c>
      <c r="J129" t="str">
        <f t="shared" si="1"/>
        <v>Loss</v>
      </c>
    </row>
    <row r="130" spans="1:10" x14ac:dyDescent="0.3">
      <c r="A130" t="s">
        <v>145</v>
      </c>
      <c r="B130" s="2">
        <v>45717</v>
      </c>
      <c r="C130" t="s">
        <v>219</v>
      </c>
      <c r="D130" t="s">
        <v>15</v>
      </c>
      <c r="E130" t="s">
        <v>220</v>
      </c>
      <c r="F130" t="s">
        <v>27</v>
      </c>
      <c r="G130">
        <v>14429.398496240599</v>
      </c>
      <c r="H130" s="1">
        <v>0.882706766917293</v>
      </c>
      <c r="I130">
        <v>-2437.06766917293</v>
      </c>
      <c r="J130" t="str">
        <f t="shared" si="1"/>
        <v>Loss</v>
      </c>
    </row>
    <row r="131" spans="1:10" x14ac:dyDescent="0.3">
      <c r="A131" t="s">
        <v>146</v>
      </c>
      <c r="B131" s="2">
        <v>45717</v>
      </c>
      <c r="C131" t="s">
        <v>221</v>
      </c>
      <c r="D131" t="s">
        <v>18</v>
      </c>
      <c r="E131" t="s">
        <v>22</v>
      </c>
      <c r="F131" t="s">
        <v>28</v>
      </c>
      <c r="G131">
        <v>14743.2330827067</v>
      </c>
      <c r="H131" s="1">
        <v>0.88045112781954904</v>
      </c>
      <c r="I131">
        <v>-2479.5112781954799</v>
      </c>
      <c r="J131" t="str">
        <f t="shared" ref="J131:J194" si="2">IF(I131&lt;0,"Loss","Profit")</f>
        <v>Loss</v>
      </c>
    </row>
    <row r="132" spans="1:10" x14ac:dyDescent="0.3">
      <c r="A132" t="s">
        <v>147</v>
      </c>
      <c r="B132" s="2">
        <v>45748</v>
      </c>
      <c r="C132" t="s">
        <v>8</v>
      </c>
      <c r="D132" t="s">
        <v>16</v>
      </c>
      <c r="E132" t="s">
        <v>20</v>
      </c>
      <c r="F132" t="s">
        <v>27</v>
      </c>
      <c r="G132">
        <v>15057.0676691729</v>
      </c>
      <c r="H132" s="1">
        <v>0.87819548872180397</v>
      </c>
      <c r="I132">
        <v>-2521.9548872180399</v>
      </c>
      <c r="J132" t="str">
        <f t="shared" si="2"/>
        <v>Loss</v>
      </c>
    </row>
    <row r="133" spans="1:10" x14ac:dyDescent="0.3">
      <c r="A133" t="s">
        <v>148</v>
      </c>
      <c r="B133" s="2">
        <v>45748</v>
      </c>
      <c r="C133" t="s">
        <v>29</v>
      </c>
      <c r="D133" t="s">
        <v>17</v>
      </c>
      <c r="E133" t="s">
        <v>23</v>
      </c>
      <c r="F133" t="s">
        <v>28</v>
      </c>
      <c r="G133">
        <v>15370.902255639099</v>
      </c>
      <c r="H133" s="1">
        <v>0.87593984962406002</v>
      </c>
      <c r="I133">
        <v>-2564.3984962405998</v>
      </c>
      <c r="J133" t="str">
        <f t="shared" si="2"/>
        <v>Loss</v>
      </c>
    </row>
    <row r="134" spans="1:10" x14ac:dyDescent="0.3">
      <c r="A134" t="s">
        <v>149</v>
      </c>
      <c r="B134" s="2">
        <v>45748</v>
      </c>
      <c r="C134" t="s">
        <v>9</v>
      </c>
      <c r="D134" t="s">
        <v>15</v>
      </c>
      <c r="E134" t="s">
        <v>21</v>
      </c>
      <c r="F134" t="s">
        <v>27</v>
      </c>
      <c r="G134">
        <v>15684.7368421052</v>
      </c>
      <c r="H134" s="1">
        <v>0.87368421052631495</v>
      </c>
      <c r="I134">
        <v>-2606.8421052631502</v>
      </c>
      <c r="J134" t="str">
        <f t="shared" si="2"/>
        <v>Loss</v>
      </c>
    </row>
    <row r="135" spans="1:10" x14ac:dyDescent="0.3">
      <c r="A135" t="s">
        <v>150</v>
      </c>
      <c r="B135" s="2">
        <v>45778</v>
      </c>
      <c r="C135" t="s">
        <v>10</v>
      </c>
      <c r="D135" t="s">
        <v>18</v>
      </c>
      <c r="E135" t="s">
        <v>25</v>
      </c>
      <c r="F135" t="s">
        <v>28</v>
      </c>
      <c r="G135">
        <v>15998.5714285714</v>
      </c>
      <c r="H135" s="1">
        <v>0.871428571428571</v>
      </c>
      <c r="I135">
        <v>-2649.2857142857101</v>
      </c>
      <c r="J135" t="str">
        <f t="shared" si="2"/>
        <v>Loss</v>
      </c>
    </row>
    <row r="136" spans="1:10" x14ac:dyDescent="0.3">
      <c r="A136" t="s">
        <v>151</v>
      </c>
      <c r="B136" s="2">
        <v>45778</v>
      </c>
      <c r="C136" t="s">
        <v>11</v>
      </c>
      <c r="D136" t="s">
        <v>16</v>
      </c>
      <c r="E136" t="s">
        <v>24</v>
      </c>
      <c r="F136" t="s">
        <v>27</v>
      </c>
      <c r="G136">
        <v>16312.406015037601</v>
      </c>
      <c r="H136" s="1">
        <v>0.86917293233082704</v>
      </c>
      <c r="I136">
        <v>-2691.7293233082701</v>
      </c>
      <c r="J136" t="str">
        <f t="shared" si="2"/>
        <v>Loss</v>
      </c>
    </row>
    <row r="137" spans="1:10" x14ac:dyDescent="0.3">
      <c r="A137" t="s">
        <v>152</v>
      </c>
      <c r="B137" s="2">
        <v>45778</v>
      </c>
      <c r="C137" t="s">
        <v>12</v>
      </c>
      <c r="D137" t="s">
        <v>15</v>
      </c>
      <c r="E137" t="s">
        <v>220</v>
      </c>
      <c r="F137" t="s">
        <v>27</v>
      </c>
      <c r="G137">
        <v>16626.240601503701</v>
      </c>
      <c r="H137" s="1">
        <v>0.86691729323308198</v>
      </c>
      <c r="I137">
        <v>-2734.17293233082</v>
      </c>
      <c r="J137" t="str">
        <f t="shared" si="2"/>
        <v>Loss</v>
      </c>
    </row>
    <row r="138" spans="1:10" x14ac:dyDescent="0.3">
      <c r="A138" t="s">
        <v>153</v>
      </c>
      <c r="B138" s="2">
        <v>45809</v>
      </c>
      <c r="C138" t="s">
        <v>13</v>
      </c>
      <c r="D138" t="s">
        <v>17</v>
      </c>
      <c r="E138" t="s">
        <v>22</v>
      </c>
      <c r="F138" t="s">
        <v>28</v>
      </c>
      <c r="G138">
        <v>16940.075187969898</v>
      </c>
      <c r="H138" s="1">
        <v>0.86466165413533802</v>
      </c>
      <c r="I138">
        <v>-2776.6165413533799</v>
      </c>
      <c r="J138" t="str">
        <f t="shared" si="2"/>
        <v>Loss</v>
      </c>
    </row>
    <row r="139" spans="1:10" x14ac:dyDescent="0.3">
      <c r="A139" t="s">
        <v>154</v>
      </c>
      <c r="B139" s="2">
        <v>45809</v>
      </c>
      <c r="C139" t="s">
        <v>218</v>
      </c>
      <c r="D139" t="s">
        <v>18</v>
      </c>
      <c r="E139" t="s">
        <v>21</v>
      </c>
      <c r="F139" t="s">
        <v>27</v>
      </c>
      <c r="G139">
        <v>17253.909774436099</v>
      </c>
      <c r="H139" s="1">
        <v>0.86240601503759395</v>
      </c>
      <c r="I139">
        <v>-2819.0601503759299</v>
      </c>
      <c r="J139" t="str">
        <f t="shared" si="2"/>
        <v>Loss</v>
      </c>
    </row>
    <row r="140" spans="1:10" x14ac:dyDescent="0.3">
      <c r="A140" t="s">
        <v>155</v>
      </c>
      <c r="B140" s="2">
        <v>45809</v>
      </c>
      <c r="C140" t="s">
        <v>219</v>
      </c>
      <c r="D140" t="s">
        <v>16</v>
      </c>
      <c r="E140" t="s">
        <v>20</v>
      </c>
      <c r="F140" t="s">
        <v>27</v>
      </c>
      <c r="G140">
        <v>17567.744360902201</v>
      </c>
      <c r="H140" s="1">
        <v>0.860150375939849</v>
      </c>
      <c r="I140">
        <v>-2861.5037593984898</v>
      </c>
      <c r="J140" t="str">
        <f t="shared" si="2"/>
        <v>Loss</v>
      </c>
    </row>
    <row r="141" spans="1:10" x14ac:dyDescent="0.3">
      <c r="A141" t="s">
        <v>156</v>
      </c>
      <c r="B141" s="2">
        <v>45809</v>
      </c>
      <c r="C141" t="s">
        <v>221</v>
      </c>
      <c r="D141" t="s">
        <v>15</v>
      </c>
      <c r="E141" t="s">
        <v>23</v>
      </c>
      <c r="F141" t="s">
        <v>28</v>
      </c>
      <c r="G141">
        <v>17881.578947368402</v>
      </c>
      <c r="H141" s="1">
        <v>0.85789473684210504</v>
      </c>
      <c r="I141">
        <v>-2903.9473684210502</v>
      </c>
      <c r="J141" t="str">
        <f t="shared" si="2"/>
        <v>Loss</v>
      </c>
    </row>
    <row r="142" spans="1:10" x14ac:dyDescent="0.3">
      <c r="A142" t="s">
        <v>157</v>
      </c>
      <c r="B142" s="2">
        <v>45658</v>
      </c>
      <c r="C142" t="s">
        <v>8</v>
      </c>
      <c r="D142" t="s">
        <v>15</v>
      </c>
      <c r="E142" t="s">
        <v>20</v>
      </c>
      <c r="F142" t="s">
        <v>27</v>
      </c>
      <c r="G142">
        <v>18195.413533834599</v>
      </c>
      <c r="H142" s="1">
        <v>0.85563909774436098</v>
      </c>
      <c r="I142">
        <v>-2946.3909774436001</v>
      </c>
      <c r="J142" t="str">
        <f t="shared" si="2"/>
        <v>Loss</v>
      </c>
    </row>
    <row r="143" spans="1:10" x14ac:dyDescent="0.3">
      <c r="A143" t="s">
        <v>158</v>
      </c>
      <c r="B143" s="2">
        <v>45658</v>
      </c>
      <c r="C143" t="s">
        <v>29</v>
      </c>
      <c r="D143" t="s">
        <v>18</v>
      </c>
      <c r="E143" t="s">
        <v>21</v>
      </c>
      <c r="F143" t="s">
        <v>27</v>
      </c>
      <c r="G143">
        <v>18509.248120300701</v>
      </c>
      <c r="H143" s="1">
        <v>0.85338345864661602</v>
      </c>
      <c r="I143">
        <v>-2988.8345864661601</v>
      </c>
      <c r="J143" t="str">
        <f t="shared" si="2"/>
        <v>Loss</v>
      </c>
    </row>
    <row r="144" spans="1:10" x14ac:dyDescent="0.3">
      <c r="A144" t="s">
        <v>159</v>
      </c>
      <c r="B144" s="2">
        <v>45658</v>
      </c>
      <c r="C144" t="s">
        <v>9</v>
      </c>
      <c r="D144" t="s">
        <v>16</v>
      </c>
      <c r="E144" t="s">
        <v>22</v>
      </c>
      <c r="F144" t="s">
        <v>28</v>
      </c>
      <c r="G144">
        <v>18823.082706766902</v>
      </c>
      <c r="H144" s="1">
        <v>0.85112781954887196</v>
      </c>
      <c r="I144">
        <v>-3031.27819548872</v>
      </c>
      <c r="J144" t="str">
        <f t="shared" si="2"/>
        <v>Loss</v>
      </c>
    </row>
    <row r="145" spans="1:10" x14ac:dyDescent="0.3">
      <c r="A145" t="s">
        <v>160</v>
      </c>
      <c r="B145" s="2">
        <v>45689</v>
      </c>
      <c r="C145" t="s">
        <v>10</v>
      </c>
      <c r="D145" t="s">
        <v>17</v>
      </c>
      <c r="E145" t="s">
        <v>23</v>
      </c>
      <c r="F145" t="s">
        <v>28</v>
      </c>
      <c r="G145">
        <v>19136.917293233098</v>
      </c>
      <c r="H145" s="1">
        <v>0.848872180451128</v>
      </c>
      <c r="I145">
        <v>-3073.72180451127</v>
      </c>
      <c r="J145" t="str">
        <f t="shared" si="2"/>
        <v>Loss</v>
      </c>
    </row>
    <row r="146" spans="1:10" x14ac:dyDescent="0.3">
      <c r="A146" t="s">
        <v>161</v>
      </c>
      <c r="B146" s="2">
        <v>45689</v>
      </c>
      <c r="C146" t="s">
        <v>11</v>
      </c>
      <c r="D146" t="s">
        <v>15</v>
      </c>
      <c r="E146" t="s">
        <v>20</v>
      </c>
      <c r="F146" t="s">
        <v>27</v>
      </c>
      <c r="G146">
        <v>19450.751879699201</v>
      </c>
      <c r="H146" s="1">
        <v>0.84661654135338305</v>
      </c>
      <c r="I146">
        <v>-3116.1654135338299</v>
      </c>
      <c r="J146" t="str">
        <f t="shared" si="2"/>
        <v>Loss</v>
      </c>
    </row>
    <row r="147" spans="1:10" x14ac:dyDescent="0.3">
      <c r="A147" t="s">
        <v>162</v>
      </c>
      <c r="B147" s="2">
        <v>45689</v>
      </c>
      <c r="C147" t="s">
        <v>12</v>
      </c>
      <c r="D147" t="s">
        <v>18</v>
      </c>
      <c r="E147" t="s">
        <v>24</v>
      </c>
      <c r="F147" t="s">
        <v>27</v>
      </c>
      <c r="G147">
        <v>19764.586466165401</v>
      </c>
      <c r="H147" s="1">
        <v>0.84436090225563898</v>
      </c>
      <c r="I147">
        <v>-3158.6090225563798</v>
      </c>
      <c r="J147" t="str">
        <f t="shared" si="2"/>
        <v>Loss</v>
      </c>
    </row>
    <row r="148" spans="1:10" x14ac:dyDescent="0.3">
      <c r="A148" t="s">
        <v>213</v>
      </c>
      <c r="B148" s="2">
        <v>45717</v>
      </c>
      <c r="C148" t="s">
        <v>13</v>
      </c>
      <c r="D148" t="s">
        <v>17</v>
      </c>
      <c r="E148" t="s">
        <v>25</v>
      </c>
      <c r="F148" t="s">
        <v>28</v>
      </c>
      <c r="G148">
        <v>20078.421052631598</v>
      </c>
      <c r="H148" s="1">
        <v>0.84210526315789402</v>
      </c>
      <c r="I148">
        <v>-3201.0526315789398</v>
      </c>
      <c r="J148" t="str">
        <f t="shared" si="2"/>
        <v>Loss</v>
      </c>
    </row>
    <row r="149" spans="1:10" x14ac:dyDescent="0.3">
      <c r="A149" t="s">
        <v>163</v>
      </c>
      <c r="B149" s="2">
        <v>45717</v>
      </c>
      <c r="C149" t="s">
        <v>218</v>
      </c>
      <c r="D149" t="s">
        <v>16</v>
      </c>
      <c r="E149" t="s">
        <v>21</v>
      </c>
      <c r="F149" t="s">
        <v>27</v>
      </c>
      <c r="G149">
        <v>20392.255639097701</v>
      </c>
      <c r="H149" s="1">
        <v>0.83984962406014996</v>
      </c>
      <c r="I149">
        <v>-3243.4962406015002</v>
      </c>
      <c r="J149" t="str">
        <f t="shared" si="2"/>
        <v>Loss</v>
      </c>
    </row>
    <row r="150" spans="1:10" x14ac:dyDescent="0.3">
      <c r="A150" t="s">
        <v>164</v>
      </c>
      <c r="B150" s="2">
        <v>45717</v>
      </c>
      <c r="C150" t="s">
        <v>219</v>
      </c>
      <c r="D150" t="s">
        <v>15</v>
      </c>
      <c r="E150" t="s">
        <v>220</v>
      </c>
      <c r="F150" t="s">
        <v>27</v>
      </c>
      <c r="G150">
        <v>20706.090225563901</v>
      </c>
      <c r="H150" s="1">
        <v>0.837593984962406</v>
      </c>
      <c r="I150">
        <v>-3285.9398496240501</v>
      </c>
      <c r="J150" t="str">
        <f t="shared" si="2"/>
        <v>Loss</v>
      </c>
    </row>
    <row r="151" spans="1:10" x14ac:dyDescent="0.3">
      <c r="A151" t="s">
        <v>165</v>
      </c>
      <c r="B151" s="2">
        <v>45717</v>
      </c>
      <c r="C151" t="s">
        <v>221</v>
      </c>
      <c r="D151" t="s">
        <v>18</v>
      </c>
      <c r="E151" t="s">
        <v>22</v>
      </c>
      <c r="F151" t="s">
        <v>28</v>
      </c>
      <c r="G151">
        <v>21019.92481203</v>
      </c>
      <c r="H151" s="1">
        <v>0.83533834586466105</v>
      </c>
      <c r="I151">
        <v>-3328.3834586466101</v>
      </c>
      <c r="J151" t="str">
        <f t="shared" si="2"/>
        <v>Loss</v>
      </c>
    </row>
    <row r="152" spans="1:10" x14ac:dyDescent="0.3">
      <c r="A152" t="s">
        <v>166</v>
      </c>
      <c r="B152" s="2">
        <v>45748</v>
      </c>
      <c r="C152" t="s">
        <v>8</v>
      </c>
      <c r="D152" t="s">
        <v>16</v>
      </c>
      <c r="E152" t="s">
        <v>20</v>
      </c>
      <c r="F152" t="s">
        <v>27</v>
      </c>
      <c r="G152">
        <v>21333.7593984962</v>
      </c>
      <c r="H152" s="1">
        <v>0.83308270676691698</v>
      </c>
      <c r="I152">
        <v>-3370.82706766917</v>
      </c>
      <c r="J152" t="str">
        <f t="shared" si="2"/>
        <v>Loss</v>
      </c>
    </row>
    <row r="153" spans="1:10" x14ac:dyDescent="0.3">
      <c r="A153" t="s">
        <v>167</v>
      </c>
      <c r="B153" s="2">
        <v>45748</v>
      </c>
      <c r="C153" t="s">
        <v>29</v>
      </c>
      <c r="D153" t="s">
        <v>17</v>
      </c>
      <c r="E153" t="s">
        <v>23</v>
      </c>
      <c r="F153" t="s">
        <v>28</v>
      </c>
      <c r="G153">
        <v>21647.593984962401</v>
      </c>
      <c r="H153" s="1">
        <v>0.83082706766917302</v>
      </c>
      <c r="I153">
        <v>-3413.2706766917199</v>
      </c>
      <c r="J153" t="str">
        <f t="shared" si="2"/>
        <v>Loss</v>
      </c>
    </row>
    <row r="154" spans="1:10" x14ac:dyDescent="0.3">
      <c r="A154" t="s">
        <v>168</v>
      </c>
      <c r="B154" s="2">
        <v>45748</v>
      </c>
      <c r="C154" t="s">
        <v>9</v>
      </c>
      <c r="D154" t="s">
        <v>15</v>
      </c>
      <c r="E154" t="s">
        <v>21</v>
      </c>
      <c r="F154" t="s">
        <v>27</v>
      </c>
      <c r="G154">
        <v>21961.4285714285</v>
      </c>
      <c r="H154" s="1">
        <v>0.82857142857142796</v>
      </c>
      <c r="I154">
        <v>-3455.7142857142799</v>
      </c>
      <c r="J154" t="str">
        <f t="shared" si="2"/>
        <v>Loss</v>
      </c>
    </row>
    <row r="155" spans="1:10" x14ac:dyDescent="0.3">
      <c r="A155" t="s">
        <v>169</v>
      </c>
      <c r="B155" s="2">
        <v>45778</v>
      </c>
      <c r="C155" t="s">
        <v>10</v>
      </c>
      <c r="D155" t="s">
        <v>18</v>
      </c>
      <c r="E155" t="s">
        <v>25</v>
      </c>
      <c r="F155" t="s">
        <v>28</v>
      </c>
      <c r="G155">
        <v>22275.2631578947</v>
      </c>
      <c r="H155" s="1">
        <v>0.826315789473684</v>
      </c>
      <c r="I155">
        <v>-3498.1578947368398</v>
      </c>
      <c r="J155" t="str">
        <f t="shared" si="2"/>
        <v>Loss</v>
      </c>
    </row>
    <row r="156" spans="1:10" x14ac:dyDescent="0.3">
      <c r="A156" t="s">
        <v>170</v>
      </c>
      <c r="B156" s="2">
        <v>45778</v>
      </c>
      <c r="C156" t="s">
        <v>11</v>
      </c>
      <c r="D156" t="s">
        <v>16</v>
      </c>
      <c r="E156" t="s">
        <v>24</v>
      </c>
      <c r="F156" t="s">
        <v>27</v>
      </c>
      <c r="G156">
        <v>22589.097744360901</v>
      </c>
      <c r="H156" s="1">
        <v>0.82406015037594005</v>
      </c>
      <c r="I156">
        <v>-3540.6015037593902</v>
      </c>
      <c r="J156" t="str">
        <f t="shared" si="2"/>
        <v>Loss</v>
      </c>
    </row>
    <row r="157" spans="1:10" x14ac:dyDescent="0.3">
      <c r="A157" t="s">
        <v>171</v>
      </c>
      <c r="B157" s="2">
        <v>45778</v>
      </c>
      <c r="C157" t="s">
        <v>12</v>
      </c>
      <c r="D157" t="s">
        <v>15</v>
      </c>
      <c r="E157" t="s">
        <v>220</v>
      </c>
      <c r="F157" t="s">
        <v>27</v>
      </c>
      <c r="G157">
        <v>22902.932330827</v>
      </c>
      <c r="H157" s="1">
        <v>0.82180451127819498</v>
      </c>
      <c r="I157">
        <v>-3583.0451127819501</v>
      </c>
      <c r="J157" t="str">
        <f t="shared" si="2"/>
        <v>Loss</v>
      </c>
    </row>
    <row r="158" spans="1:10" x14ac:dyDescent="0.3">
      <c r="A158" t="s">
        <v>172</v>
      </c>
      <c r="B158" s="2">
        <v>45809</v>
      </c>
      <c r="C158" t="s">
        <v>13</v>
      </c>
      <c r="D158" t="s">
        <v>17</v>
      </c>
      <c r="E158" t="s">
        <v>22</v>
      </c>
      <c r="F158" t="s">
        <v>28</v>
      </c>
      <c r="G158">
        <v>23216.7669172932</v>
      </c>
      <c r="H158" s="1">
        <v>0.81954887218045103</v>
      </c>
      <c r="I158">
        <v>-3625.4887218045001</v>
      </c>
      <c r="J158" t="str">
        <f t="shared" si="2"/>
        <v>Loss</v>
      </c>
    </row>
    <row r="159" spans="1:10" x14ac:dyDescent="0.3">
      <c r="A159" t="s">
        <v>173</v>
      </c>
      <c r="B159" s="2">
        <v>45809</v>
      </c>
      <c r="C159" t="s">
        <v>218</v>
      </c>
      <c r="D159" t="s">
        <v>18</v>
      </c>
      <c r="E159" t="s">
        <v>21</v>
      </c>
      <c r="F159" t="s">
        <v>27</v>
      </c>
      <c r="G159">
        <v>23530.601503759401</v>
      </c>
      <c r="H159" s="1">
        <v>0.81729323308270596</v>
      </c>
      <c r="I159">
        <v>-3667.93233082706</v>
      </c>
      <c r="J159" t="str">
        <f t="shared" si="2"/>
        <v>Loss</v>
      </c>
    </row>
    <row r="160" spans="1:10" x14ac:dyDescent="0.3">
      <c r="A160" t="s">
        <v>174</v>
      </c>
      <c r="B160" s="2">
        <v>45809</v>
      </c>
      <c r="C160" t="s">
        <v>219</v>
      </c>
      <c r="D160" t="s">
        <v>16</v>
      </c>
      <c r="E160" t="s">
        <v>20</v>
      </c>
      <c r="F160" t="s">
        <v>27</v>
      </c>
      <c r="G160">
        <v>23844.436090225499</v>
      </c>
      <c r="H160" s="1">
        <v>0.81503759398496201</v>
      </c>
      <c r="I160">
        <v>-3710.37593984962</v>
      </c>
      <c r="J160" t="str">
        <f t="shared" si="2"/>
        <v>Loss</v>
      </c>
    </row>
    <row r="161" spans="1:10" x14ac:dyDescent="0.3">
      <c r="A161" t="s">
        <v>175</v>
      </c>
      <c r="B161" s="2">
        <v>45809</v>
      </c>
      <c r="C161" t="s">
        <v>221</v>
      </c>
      <c r="D161" t="s">
        <v>15</v>
      </c>
      <c r="E161" t="s">
        <v>23</v>
      </c>
      <c r="F161" t="s">
        <v>28</v>
      </c>
      <c r="G161">
        <v>24158.2706766917</v>
      </c>
      <c r="H161" s="1">
        <v>0.81278195488721805</v>
      </c>
      <c r="I161">
        <v>-3752.8195488721699</v>
      </c>
      <c r="J161" t="str">
        <f t="shared" si="2"/>
        <v>Loss</v>
      </c>
    </row>
    <row r="162" spans="1:10" x14ac:dyDescent="0.3">
      <c r="A162" t="s">
        <v>176</v>
      </c>
      <c r="B162" s="2">
        <v>45658</v>
      </c>
      <c r="C162" t="s">
        <v>8</v>
      </c>
      <c r="D162" t="s">
        <v>15</v>
      </c>
      <c r="E162" t="s">
        <v>20</v>
      </c>
      <c r="F162" t="s">
        <v>27</v>
      </c>
      <c r="G162">
        <v>24472.1052631579</v>
      </c>
      <c r="H162" s="1">
        <v>0.81052631578947298</v>
      </c>
      <c r="I162">
        <v>-3795.2631578947298</v>
      </c>
      <c r="J162" t="str">
        <f t="shared" si="2"/>
        <v>Loss</v>
      </c>
    </row>
    <row r="163" spans="1:10" x14ac:dyDescent="0.3">
      <c r="A163" t="s">
        <v>177</v>
      </c>
      <c r="B163" s="2">
        <v>45658</v>
      </c>
      <c r="C163" t="s">
        <v>29</v>
      </c>
      <c r="D163" t="s">
        <v>18</v>
      </c>
      <c r="E163" t="s">
        <v>21</v>
      </c>
      <c r="F163" t="s">
        <v>27</v>
      </c>
      <c r="G163">
        <v>24785.939849623999</v>
      </c>
      <c r="H163" s="1">
        <v>0.80827067669172903</v>
      </c>
      <c r="I163">
        <v>-3837.7067669172902</v>
      </c>
      <c r="J163" t="str">
        <f t="shared" si="2"/>
        <v>Loss</v>
      </c>
    </row>
    <row r="164" spans="1:10" x14ac:dyDescent="0.3">
      <c r="A164" t="s">
        <v>178</v>
      </c>
      <c r="B164" s="2">
        <v>45658</v>
      </c>
      <c r="C164" t="s">
        <v>9</v>
      </c>
      <c r="D164" t="s">
        <v>16</v>
      </c>
      <c r="E164" t="s">
        <v>22</v>
      </c>
      <c r="F164" t="s">
        <v>28</v>
      </c>
      <c r="G164">
        <v>25099.7744360902</v>
      </c>
      <c r="H164" s="1">
        <v>0.80601503759398496</v>
      </c>
      <c r="I164">
        <v>-3880.1503759398402</v>
      </c>
      <c r="J164" t="str">
        <f t="shared" si="2"/>
        <v>Loss</v>
      </c>
    </row>
    <row r="165" spans="1:10" x14ac:dyDescent="0.3">
      <c r="A165" t="s">
        <v>179</v>
      </c>
      <c r="B165" s="2">
        <v>45689</v>
      </c>
      <c r="C165" t="s">
        <v>10</v>
      </c>
      <c r="D165" t="s">
        <v>17</v>
      </c>
      <c r="E165" t="s">
        <v>23</v>
      </c>
      <c r="F165" t="s">
        <v>28</v>
      </c>
      <c r="G165">
        <v>25413.6090225564</v>
      </c>
      <c r="H165" s="1">
        <v>0.80375939849624001</v>
      </c>
      <c r="I165">
        <v>-3922.5939849624001</v>
      </c>
      <c r="J165" t="str">
        <f t="shared" si="2"/>
        <v>Loss</v>
      </c>
    </row>
    <row r="166" spans="1:10" x14ac:dyDescent="0.3">
      <c r="A166" t="s">
        <v>180</v>
      </c>
      <c r="B166" s="2">
        <v>45689</v>
      </c>
      <c r="C166" t="s">
        <v>11</v>
      </c>
      <c r="D166" t="s">
        <v>15</v>
      </c>
      <c r="E166" t="s">
        <v>20</v>
      </c>
      <c r="F166" t="s">
        <v>27</v>
      </c>
      <c r="G166">
        <v>25727.443609022499</v>
      </c>
      <c r="H166" s="1">
        <v>0.80150375939849605</v>
      </c>
      <c r="I166">
        <v>-3965.03759398496</v>
      </c>
      <c r="J166" t="str">
        <f t="shared" si="2"/>
        <v>Loss</v>
      </c>
    </row>
    <row r="167" spans="1:10" x14ac:dyDescent="0.3">
      <c r="A167" t="s">
        <v>181</v>
      </c>
      <c r="B167" s="2">
        <v>45689</v>
      </c>
      <c r="C167" t="s">
        <v>12</v>
      </c>
      <c r="D167" t="s">
        <v>18</v>
      </c>
      <c r="E167" t="s">
        <v>24</v>
      </c>
      <c r="F167" t="s">
        <v>27</v>
      </c>
      <c r="G167">
        <v>26041.2781954887</v>
      </c>
      <c r="H167" s="1">
        <v>0.79924812030075199</v>
      </c>
      <c r="I167">
        <v>-4007.48120300751</v>
      </c>
      <c r="J167" t="str">
        <f t="shared" si="2"/>
        <v>Loss</v>
      </c>
    </row>
    <row r="168" spans="1:10" x14ac:dyDescent="0.3">
      <c r="A168" t="s">
        <v>182</v>
      </c>
      <c r="B168" s="2">
        <v>45717</v>
      </c>
      <c r="C168" t="s">
        <v>13</v>
      </c>
      <c r="D168" t="s">
        <v>17</v>
      </c>
      <c r="E168" t="s">
        <v>25</v>
      </c>
      <c r="F168" t="s">
        <v>28</v>
      </c>
      <c r="G168">
        <v>26355.1127819549</v>
      </c>
      <c r="H168" s="1">
        <v>0.79699248120300703</v>
      </c>
      <c r="I168">
        <v>-4049.9248120300699</v>
      </c>
      <c r="J168" t="str">
        <f t="shared" si="2"/>
        <v>Loss</v>
      </c>
    </row>
    <row r="169" spans="1:10" x14ac:dyDescent="0.3">
      <c r="A169" t="s">
        <v>213</v>
      </c>
      <c r="B169" s="2">
        <v>45717</v>
      </c>
      <c r="C169" t="s">
        <v>218</v>
      </c>
      <c r="D169" t="s">
        <v>16</v>
      </c>
      <c r="E169" t="s">
        <v>21</v>
      </c>
      <c r="F169" t="s">
        <v>27</v>
      </c>
      <c r="G169">
        <v>26668.947368420999</v>
      </c>
      <c r="H169" s="1">
        <v>0.79473684210526296</v>
      </c>
      <c r="I169">
        <v>-4092.3684210526299</v>
      </c>
      <c r="J169" t="str">
        <f t="shared" si="2"/>
        <v>Loss</v>
      </c>
    </row>
    <row r="170" spans="1:10" x14ac:dyDescent="0.3">
      <c r="A170" t="s">
        <v>183</v>
      </c>
      <c r="B170" s="2">
        <v>45717</v>
      </c>
      <c r="C170" t="s">
        <v>219</v>
      </c>
      <c r="D170" t="s">
        <v>15</v>
      </c>
      <c r="E170" t="s">
        <v>220</v>
      </c>
      <c r="F170" t="s">
        <v>27</v>
      </c>
      <c r="G170">
        <v>26982.781954887199</v>
      </c>
      <c r="H170" s="1">
        <v>0.79248120300751801</v>
      </c>
      <c r="I170">
        <v>-4134.8120300751798</v>
      </c>
      <c r="J170" t="str">
        <f t="shared" si="2"/>
        <v>Loss</v>
      </c>
    </row>
    <row r="171" spans="1:10" x14ac:dyDescent="0.3">
      <c r="A171" t="s">
        <v>184</v>
      </c>
      <c r="B171" s="2">
        <v>45717</v>
      </c>
      <c r="C171" t="s">
        <v>221</v>
      </c>
      <c r="D171" t="s">
        <v>18</v>
      </c>
      <c r="E171" t="s">
        <v>22</v>
      </c>
      <c r="F171" t="s">
        <v>28</v>
      </c>
      <c r="G171">
        <v>27296.6165413534</v>
      </c>
      <c r="H171" s="1">
        <v>0.79022556390977405</v>
      </c>
      <c r="I171">
        <v>-4177.2556390977397</v>
      </c>
      <c r="J171" t="str">
        <f t="shared" si="2"/>
        <v>Loss</v>
      </c>
    </row>
    <row r="172" spans="1:10" x14ac:dyDescent="0.3">
      <c r="A172" t="s">
        <v>185</v>
      </c>
      <c r="B172" s="2">
        <v>45748</v>
      </c>
      <c r="C172" t="s">
        <v>8</v>
      </c>
      <c r="D172" t="s">
        <v>16</v>
      </c>
      <c r="E172" t="s">
        <v>20</v>
      </c>
      <c r="F172" t="s">
        <v>27</v>
      </c>
      <c r="G172">
        <v>27610.451127819499</v>
      </c>
      <c r="H172" s="1">
        <v>0.78796992481202999</v>
      </c>
      <c r="I172">
        <v>-4219.6992481202897</v>
      </c>
      <c r="J172" t="str">
        <f t="shared" si="2"/>
        <v>Loss</v>
      </c>
    </row>
    <row r="173" spans="1:10" x14ac:dyDescent="0.3">
      <c r="A173" t="s">
        <v>186</v>
      </c>
      <c r="B173" s="2">
        <v>45748</v>
      </c>
      <c r="C173" t="s">
        <v>29</v>
      </c>
      <c r="D173" t="s">
        <v>17</v>
      </c>
      <c r="E173" t="s">
        <v>23</v>
      </c>
      <c r="F173" t="s">
        <v>28</v>
      </c>
      <c r="G173">
        <v>27924.285714285699</v>
      </c>
      <c r="H173" s="1">
        <v>0.78571428571428503</v>
      </c>
      <c r="I173">
        <v>-4262.1428571428596</v>
      </c>
      <c r="J173" t="str">
        <f t="shared" si="2"/>
        <v>Loss</v>
      </c>
    </row>
    <row r="174" spans="1:10" x14ac:dyDescent="0.3">
      <c r="A174" t="s">
        <v>187</v>
      </c>
      <c r="B174" s="2">
        <v>45748</v>
      </c>
      <c r="C174" t="s">
        <v>9</v>
      </c>
      <c r="D174" t="s">
        <v>15</v>
      </c>
      <c r="E174" t="s">
        <v>21</v>
      </c>
      <c r="F174" t="s">
        <v>27</v>
      </c>
      <c r="G174">
        <v>28238.1203007519</v>
      </c>
      <c r="H174" s="1">
        <v>0.78345864661654097</v>
      </c>
      <c r="I174">
        <v>-4304.5864661654095</v>
      </c>
      <c r="J174" t="str">
        <f t="shared" si="2"/>
        <v>Loss</v>
      </c>
    </row>
    <row r="175" spans="1:10" x14ac:dyDescent="0.3">
      <c r="A175" t="s">
        <v>188</v>
      </c>
      <c r="B175" s="2">
        <v>45778</v>
      </c>
      <c r="C175" t="s">
        <v>10</v>
      </c>
      <c r="D175" t="s">
        <v>18</v>
      </c>
      <c r="E175" t="s">
        <v>25</v>
      </c>
      <c r="F175" t="s">
        <v>28</v>
      </c>
      <c r="G175">
        <v>28551.954887217998</v>
      </c>
      <c r="H175" s="1">
        <v>0.78120300751879701</v>
      </c>
      <c r="I175">
        <v>-4347.0300751879604</v>
      </c>
      <c r="J175" t="str">
        <f t="shared" si="2"/>
        <v>Loss</v>
      </c>
    </row>
    <row r="176" spans="1:10" x14ac:dyDescent="0.3">
      <c r="A176" t="s">
        <v>189</v>
      </c>
      <c r="B176" s="2">
        <v>45778</v>
      </c>
      <c r="C176" t="s">
        <v>11</v>
      </c>
      <c r="D176" t="s">
        <v>16</v>
      </c>
      <c r="E176" t="s">
        <v>24</v>
      </c>
      <c r="F176" t="s">
        <v>27</v>
      </c>
      <c r="G176">
        <v>28865.789473684199</v>
      </c>
      <c r="H176" s="1">
        <v>0.77894736842105206</v>
      </c>
      <c r="I176">
        <v>-4389.4736842105203</v>
      </c>
      <c r="J176" t="str">
        <f t="shared" si="2"/>
        <v>Loss</v>
      </c>
    </row>
    <row r="177" spans="1:10" x14ac:dyDescent="0.3">
      <c r="A177" t="s">
        <v>190</v>
      </c>
      <c r="B177" s="2">
        <v>45778</v>
      </c>
      <c r="C177" t="s">
        <v>12</v>
      </c>
      <c r="D177" t="s">
        <v>15</v>
      </c>
      <c r="E177" t="s">
        <v>220</v>
      </c>
      <c r="F177" t="s">
        <v>27</v>
      </c>
      <c r="G177">
        <v>29179.6240601504</v>
      </c>
      <c r="H177" s="1">
        <v>0.77669172932330799</v>
      </c>
      <c r="I177">
        <v>-4431.9172932330803</v>
      </c>
      <c r="J177" t="str">
        <f t="shared" si="2"/>
        <v>Loss</v>
      </c>
    </row>
    <row r="178" spans="1:10" x14ac:dyDescent="0.3">
      <c r="A178" t="s">
        <v>191</v>
      </c>
      <c r="B178" s="2">
        <v>45809</v>
      </c>
      <c r="C178" t="s">
        <v>13</v>
      </c>
      <c r="D178" t="s">
        <v>17</v>
      </c>
      <c r="E178" t="s">
        <v>22</v>
      </c>
      <c r="F178" t="s">
        <v>28</v>
      </c>
      <c r="G178">
        <v>29493.458646616498</v>
      </c>
      <c r="H178" s="1">
        <v>0.77443609022556403</v>
      </c>
      <c r="I178">
        <v>-4474.3609022556302</v>
      </c>
      <c r="J178" t="str">
        <f t="shared" si="2"/>
        <v>Loss</v>
      </c>
    </row>
    <row r="179" spans="1:10" x14ac:dyDescent="0.3">
      <c r="A179" t="s">
        <v>192</v>
      </c>
      <c r="B179" s="2">
        <v>45809</v>
      </c>
      <c r="C179" t="s">
        <v>218</v>
      </c>
      <c r="D179" t="s">
        <v>18</v>
      </c>
      <c r="E179" t="s">
        <v>21</v>
      </c>
      <c r="F179" t="s">
        <v>27</v>
      </c>
      <c r="G179">
        <v>29807.293233082699</v>
      </c>
      <c r="H179" s="1">
        <v>0.77218045112781897</v>
      </c>
      <c r="I179">
        <v>-4516.8045112781901</v>
      </c>
      <c r="J179" t="str">
        <f t="shared" si="2"/>
        <v>Loss</v>
      </c>
    </row>
    <row r="180" spans="1:10" x14ac:dyDescent="0.3">
      <c r="A180" t="s">
        <v>193</v>
      </c>
      <c r="B180" s="2">
        <v>45809</v>
      </c>
      <c r="C180" t="s">
        <v>219</v>
      </c>
      <c r="D180" t="s">
        <v>16</v>
      </c>
      <c r="E180" t="s">
        <v>20</v>
      </c>
      <c r="F180" t="s">
        <v>27</v>
      </c>
      <c r="G180">
        <v>30121.127819548899</v>
      </c>
      <c r="H180" s="1">
        <v>0.76992481203007501</v>
      </c>
      <c r="I180">
        <v>-4559.2481203007501</v>
      </c>
      <c r="J180" t="str">
        <f t="shared" si="2"/>
        <v>Loss</v>
      </c>
    </row>
    <row r="181" spans="1:10" x14ac:dyDescent="0.3">
      <c r="A181" t="s">
        <v>194</v>
      </c>
      <c r="B181" s="2">
        <v>45809</v>
      </c>
      <c r="C181" t="s">
        <v>221</v>
      </c>
      <c r="D181" t="s">
        <v>15</v>
      </c>
      <c r="E181" t="s">
        <v>23</v>
      </c>
      <c r="F181" t="s">
        <v>28</v>
      </c>
      <c r="G181">
        <v>30434.962406015002</v>
      </c>
      <c r="H181" s="1">
        <v>0.76766917293233095</v>
      </c>
      <c r="I181">
        <v>-4601.6917293233</v>
      </c>
      <c r="J181" t="str">
        <f t="shared" si="2"/>
        <v>Loss</v>
      </c>
    </row>
    <row r="182" spans="1:10" x14ac:dyDescent="0.3">
      <c r="A182" t="s">
        <v>195</v>
      </c>
      <c r="B182" s="2">
        <v>45658</v>
      </c>
      <c r="C182" t="s">
        <v>8</v>
      </c>
      <c r="D182" t="s">
        <v>15</v>
      </c>
      <c r="E182" t="s">
        <v>20</v>
      </c>
      <c r="F182" t="s">
        <v>27</v>
      </c>
      <c r="G182">
        <v>30748.796992481199</v>
      </c>
      <c r="H182" s="1">
        <v>0.76541353383458599</v>
      </c>
      <c r="I182">
        <v>-4644.13533834586</v>
      </c>
      <c r="J182" t="str">
        <f t="shared" si="2"/>
        <v>Loss</v>
      </c>
    </row>
    <row r="183" spans="1:10" x14ac:dyDescent="0.3">
      <c r="A183" t="s">
        <v>196</v>
      </c>
      <c r="B183" s="2">
        <v>45658</v>
      </c>
      <c r="C183" t="s">
        <v>29</v>
      </c>
      <c r="D183" t="s">
        <v>18</v>
      </c>
      <c r="E183" t="s">
        <v>21</v>
      </c>
      <c r="F183" t="s">
        <v>27</v>
      </c>
      <c r="G183">
        <v>31062.631578947301</v>
      </c>
      <c r="H183" s="1">
        <v>0.76315789473684204</v>
      </c>
      <c r="I183">
        <v>-4686.5789473684199</v>
      </c>
      <c r="J183" t="str">
        <f t="shared" si="2"/>
        <v>Loss</v>
      </c>
    </row>
    <row r="184" spans="1:10" x14ac:dyDescent="0.3">
      <c r="A184" t="s">
        <v>197</v>
      </c>
      <c r="B184" s="2">
        <v>45658</v>
      </c>
      <c r="C184" t="s">
        <v>9</v>
      </c>
      <c r="D184" t="s">
        <v>16</v>
      </c>
      <c r="E184" t="s">
        <v>22</v>
      </c>
      <c r="F184" t="s">
        <v>28</v>
      </c>
      <c r="G184">
        <v>31376.466165413502</v>
      </c>
      <c r="H184" s="1">
        <v>0.76090225563909697</v>
      </c>
      <c r="I184">
        <v>-4729.0225563909698</v>
      </c>
      <c r="J184" t="str">
        <f t="shared" si="2"/>
        <v>Loss</v>
      </c>
    </row>
    <row r="185" spans="1:10" x14ac:dyDescent="0.3">
      <c r="A185" t="s">
        <v>198</v>
      </c>
      <c r="B185" s="2">
        <v>45689</v>
      </c>
      <c r="C185" t="s">
        <v>10</v>
      </c>
      <c r="D185" t="s">
        <v>17</v>
      </c>
      <c r="E185" t="s">
        <v>23</v>
      </c>
      <c r="F185" t="s">
        <v>28</v>
      </c>
      <c r="G185">
        <v>31690.300751879699</v>
      </c>
      <c r="H185" s="1">
        <v>0.75864661654135301</v>
      </c>
      <c r="I185">
        <v>-4771.4661654135298</v>
      </c>
      <c r="J185" t="str">
        <f t="shared" si="2"/>
        <v>Loss</v>
      </c>
    </row>
    <row r="186" spans="1:10" x14ac:dyDescent="0.3">
      <c r="A186" t="s">
        <v>199</v>
      </c>
      <c r="B186" s="2">
        <v>45689</v>
      </c>
      <c r="C186" t="s">
        <v>11</v>
      </c>
      <c r="D186" t="s">
        <v>15</v>
      </c>
      <c r="E186" t="s">
        <v>20</v>
      </c>
      <c r="F186" t="s">
        <v>27</v>
      </c>
      <c r="G186">
        <v>32004.135338345801</v>
      </c>
      <c r="H186" s="1">
        <v>0.75639097744360895</v>
      </c>
      <c r="I186">
        <v>-4813.9097744360797</v>
      </c>
      <c r="J186" t="str">
        <f t="shared" si="2"/>
        <v>Loss</v>
      </c>
    </row>
    <row r="187" spans="1:10" x14ac:dyDescent="0.3">
      <c r="A187" t="s">
        <v>200</v>
      </c>
      <c r="B187" s="2">
        <v>45689</v>
      </c>
      <c r="C187" t="s">
        <v>12</v>
      </c>
      <c r="D187" t="s">
        <v>18</v>
      </c>
      <c r="E187" t="s">
        <v>24</v>
      </c>
      <c r="F187" t="s">
        <v>27</v>
      </c>
      <c r="G187">
        <v>32317.969924812001</v>
      </c>
      <c r="H187" s="1">
        <v>0.75413533834586399</v>
      </c>
      <c r="I187">
        <v>-4856.3533834586497</v>
      </c>
      <c r="J187" t="str">
        <f t="shared" si="2"/>
        <v>Loss</v>
      </c>
    </row>
    <row r="188" spans="1:10" x14ac:dyDescent="0.3">
      <c r="A188" t="s">
        <v>201</v>
      </c>
      <c r="B188" s="2">
        <v>45717</v>
      </c>
      <c r="C188" t="s">
        <v>13</v>
      </c>
      <c r="D188" t="s">
        <v>17</v>
      </c>
      <c r="E188" t="s">
        <v>25</v>
      </c>
      <c r="F188" t="s">
        <v>28</v>
      </c>
      <c r="G188">
        <v>32631.804511278198</v>
      </c>
      <c r="H188" s="1">
        <v>0.75187969924812004</v>
      </c>
      <c r="I188">
        <v>-4898.7969924811996</v>
      </c>
      <c r="J188" t="str">
        <f t="shared" si="2"/>
        <v>Loss</v>
      </c>
    </row>
    <row r="189" spans="1:10" x14ac:dyDescent="0.3">
      <c r="A189" t="s">
        <v>202</v>
      </c>
      <c r="B189" s="2">
        <v>45717</v>
      </c>
      <c r="C189" t="s">
        <v>218</v>
      </c>
      <c r="D189" t="s">
        <v>16</v>
      </c>
      <c r="E189" t="s">
        <v>21</v>
      </c>
      <c r="F189" t="s">
        <v>27</v>
      </c>
      <c r="G189">
        <v>32945.639097744301</v>
      </c>
      <c r="H189" s="1">
        <v>0.74962406015037597</v>
      </c>
      <c r="I189">
        <v>-4941.2406015037504</v>
      </c>
      <c r="J189" t="str">
        <f t="shared" si="2"/>
        <v>Loss</v>
      </c>
    </row>
    <row r="190" spans="1:10" x14ac:dyDescent="0.3">
      <c r="A190" t="s">
        <v>213</v>
      </c>
      <c r="B190" s="2">
        <v>45717</v>
      </c>
      <c r="C190" t="s">
        <v>219</v>
      </c>
      <c r="D190" t="s">
        <v>15</v>
      </c>
      <c r="E190" t="s">
        <v>220</v>
      </c>
      <c r="F190" t="s">
        <v>27</v>
      </c>
      <c r="G190">
        <v>33259.473684210498</v>
      </c>
      <c r="H190" s="1">
        <v>0.74736842105263102</v>
      </c>
      <c r="I190">
        <v>-4983.6842105263104</v>
      </c>
      <c r="J190" t="str">
        <f t="shared" si="2"/>
        <v>Loss</v>
      </c>
    </row>
    <row r="191" spans="1:10" x14ac:dyDescent="0.3">
      <c r="A191" t="s">
        <v>203</v>
      </c>
      <c r="B191" s="2">
        <v>45717</v>
      </c>
      <c r="C191" t="s">
        <v>221</v>
      </c>
      <c r="D191" t="s">
        <v>18</v>
      </c>
      <c r="E191" t="s">
        <v>22</v>
      </c>
      <c r="F191" t="s">
        <v>28</v>
      </c>
      <c r="G191">
        <v>33573.308270676702</v>
      </c>
      <c r="H191" s="1">
        <v>0.74511278195488695</v>
      </c>
      <c r="I191">
        <v>-5026.1278195488703</v>
      </c>
      <c r="J191" t="str">
        <f t="shared" si="2"/>
        <v>Loss</v>
      </c>
    </row>
    <row r="192" spans="1:10" x14ac:dyDescent="0.3">
      <c r="A192" t="s">
        <v>204</v>
      </c>
      <c r="B192" s="2">
        <v>45748</v>
      </c>
      <c r="C192" t="s">
        <v>8</v>
      </c>
      <c r="D192" t="s">
        <v>16</v>
      </c>
      <c r="E192" t="s">
        <v>20</v>
      </c>
      <c r="F192" t="s">
        <v>27</v>
      </c>
      <c r="G192">
        <v>33887.142857142797</v>
      </c>
      <c r="H192" s="1">
        <v>0.74285714285714299</v>
      </c>
      <c r="I192">
        <v>-5068.5714285714203</v>
      </c>
      <c r="J192" t="str">
        <f t="shared" si="2"/>
        <v>Loss</v>
      </c>
    </row>
    <row r="193" spans="1:10" x14ac:dyDescent="0.3">
      <c r="A193" t="s">
        <v>205</v>
      </c>
      <c r="B193" s="2">
        <v>45748</v>
      </c>
      <c r="C193" t="s">
        <v>29</v>
      </c>
      <c r="D193" t="s">
        <v>17</v>
      </c>
      <c r="E193" t="s">
        <v>23</v>
      </c>
      <c r="F193" t="s">
        <v>28</v>
      </c>
      <c r="G193">
        <v>34200.977443609001</v>
      </c>
      <c r="H193" s="1">
        <v>0.74060150375939804</v>
      </c>
      <c r="I193">
        <v>-5111.0150375939802</v>
      </c>
      <c r="J193" t="str">
        <f t="shared" si="2"/>
        <v>Loss</v>
      </c>
    </row>
    <row r="194" spans="1:10" x14ac:dyDescent="0.3">
      <c r="A194" t="s">
        <v>206</v>
      </c>
      <c r="B194" s="2">
        <v>45748</v>
      </c>
      <c r="C194" t="s">
        <v>9</v>
      </c>
      <c r="D194" t="s">
        <v>15</v>
      </c>
      <c r="E194" t="s">
        <v>21</v>
      </c>
      <c r="F194" t="s">
        <v>27</v>
      </c>
      <c r="G194">
        <v>34514.812030075198</v>
      </c>
      <c r="H194" s="1">
        <v>0.73834586466165397</v>
      </c>
      <c r="I194">
        <v>-5153.4586466165301</v>
      </c>
      <c r="J194" t="str">
        <f t="shared" si="2"/>
        <v>Loss</v>
      </c>
    </row>
    <row r="195" spans="1:10" x14ac:dyDescent="0.3">
      <c r="A195" t="s">
        <v>207</v>
      </c>
      <c r="B195" s="2">
        <v>45778</v>
      </c>
      <c r="C195" t="s">
        <v>10</v>
      </c>
      <c r="D195" t="s">
        <v>18</v>
      </c>
      <c r="E195" t="s">
        <v>25</v>
      </c>
      <c r="F195" t="s">
        <v>28</v>
      </c>
      <c r="G195">
        <v>34828.6466165413</v>
      </c>
      <c r="H195" s="1">
        <v>0.73609022556390902</v>
      </c>
      <c r="I195">
        <v>-5195.9022556390901</v>
      </c>
      <c r="J195" t="str">
        <f t="shared" ref="J195:J200" si="3">IF(I195&lt;0,"Loss","Profit")</f>
        <v>Loss</v>
      </c>
    </row>
    <row r="196" spans="1:10" x14ac:dyDescent="0.3">
      <c r="A196" t="s">
        <v>208</v>
      </c>
      <c r="B196" s="2">
        <v>45778</v>
      </c>
      <c r="C196" t="s">
        <v>11</v>
      </c>
      <c r="D196" t="s">
        <v>16</v>
      </c>
      <c r="E196" t="s">
        <v>24</v>
      </c>
      <c r="F196" t="s">
        <v>27</v>
      </c>
      <c r="G196">
        <v>35142.481203007497</v>
      </c>
      <c r="H196" s="1">
        <v>0.73383458646616495</v>
      </c>
      <c r="I196">
        <v>-5238.34586466165</v>
      </c>
      <c r="J196" t="str">
        <f t="shared" si="3"/>
        <v>Loss</v>
      </c>
    </row>
    <row r="197" spans="1:10" x14ac:dyDescent="0.3">
      <c r="A197" t="s">
        <v>209</v>
      </c>
      <c r="B197" s="2">
        <v>45778</v>
      </c>
      <c r="C197" t="s">
        <v>12</v>
      </c>
      <c r="D197" t="s">
        <v>15</v>
      </c>
      <c r="E197" t="s">
        <v>220</v>
      </c>
      <c r="F197" t="s">
        <v>27</v>
      </c>
      <c r="G197">
        <v>35456.315789473701</v>
      </c>
      <c r="H197" s="1">
        <v>0.731578947368421</v>
      </c>
      <c r="I197">
        <v>-5280.7894736841999</v>
      </c>
      <c r="J197" t="str">
        <f t="shared" si="3"/>
        <v>Loss</v>
      </c>
    </row>
    <row r="198" spans="1:10" x14ac:dyDescent="0.3">
      <c r="A198" t="s">
        <v>210</v>
      </c>
      <c r="B198" s="2">
        <v>45809</v>
      </c>
      <c r="C198" t="s">
        <v>13</v>
      </c>
      <c r="D198" t="s">
        <v>17</v>
      </c>
      <c r="E198" t="s">
        <v>22</v>
      </c>
      <c r="F198" t="s">
        <v>28</v>
      </c>
      <c r="G198">
        <v>35770.150375939797</v>
      </c>
      <c r="H198" s="1">
        <v>0.72932330827067604</v>
      </c>
      <c r="I198">
        <v>-5323.2330827067599</v>
      </c>
      <c r="J198" t="str">
        <f t="shared" si="3"/>
        <v>Loss</v>
      </c>
    </row>
    <row r="199" spans="1:10" x14ac:dyDescent="0.3">
      <c r="A199" t="s">
        <v>211</v>
      </c>
      <c r="B199" s="2">
        <v>45809</v>
      </c>
      <c r="C199" t="s">
        <v>218</v>
      </c>
      <c r="D199" t="s">
        <v>18</v>
      </c>
      <c r="E199" t="s">
        <v>21</v>
      </c>
      <c r="F199" t="s">
        <v>27</v>
      </c>
      <c r="G199">
        <v>36083.984962406001</v>
      </c>
      <c r="H199" s="1">
        <v>0.72706766917293197</v>
      </c>
      <c r="I199">
        <v>-5365.6766917293198</v>
      </c>
      <c r="J199" t="str">
        <f t="shared" si="3"/>
        <v>Loss</v>
      </c>
    </row>
    <row r="200" spans="1:10" x14ac:dyDescent="0.3">
      <c r="A200" t="s">
        <v>212</v>
      </c>
      <c r="B200" s="2">
        <v>45809</v>
      </c>
      <c r="C200" t="s">
        <v>219</v>
      </c>
      <c r="D200" t="s">
        <v>16</v>
      </c>
      <c r="E200" t="s">
        <v>20</v>
      </c>
      <c r="F200" t="s">
        <v>27</v>
      </c>
      <c r="G200">
        <v>36397.819548872198</v>
      </c>
      <c r="H200" s="1">
        <v>0.72481203007518802</v>
      </c>
      <c r="I200">
        <v>-5408.1203007518698</v>
      </c>
      <c r="J200" t="str">
        <f t="shared" si="3"/>
        <v>Loss</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A3FF-CF7F-4BAA-B42F-B3E8B60F61C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Raw_Sales_Data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Chaurasia</dc:creator>
  <cp:lastModifiedBy>PRIYA CHAURASIA</cp:lastModifiedBy>
  <dcterms:created xsi:type="dcterms:W3CDTF">2026-01-08T06:39:59Z</dcterms:created>
  <dcterms:modified xsi:type="dcterms:W3CDTF">2026-01-08T09:57:20Z</dcterms:modified>
</cp:coreProperties>
</file>